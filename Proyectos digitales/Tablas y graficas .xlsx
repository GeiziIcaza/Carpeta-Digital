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0574CA91-C9B3-428C-8BF8-3C73787CCE0F}" xr6:coauthVersionLast="47" xr6:coauthVersionMax="47" xr10:uidLastSave="{00000000-0000-0000-0000-000000000000}"/>
  <bookViews>
    <workbookView xWindow="-110" yWindow="-110" windowWidth="19420" windowHeight="10300" firstSheet="4" activeTab="4" xr2:uid="{E33838B9-3C37-460C-8C91-CE625E7DFCFD}"/>
  </bookViews>
  <sheets>
    <sheet name="Datos" sheetId="1" r:id="rId1"/>
    <sheet name="Tabla de frecuencia simple" sheetId="2" r:id="rId2"/>
    <sheet name="Gráfica de barras" sheetId="3" r:id="rId3"/>
    <sheet name="Gráfica de Paretto" sheetId="4" r:id="rId4"/>
    <sheet name="Gráfica de puntos" sheetId="5" r:id="rId5"/>
    <sheet name="Tabla de contingencia" sheetId="11" r:id="rId6"/>
    <sheet name="Tabla de frecuencia por interva" sheetId="6" r:id="rId7"/>
    <sheet name="Histograma" sheetId="7" r:id="rId8"/>
    <sheet name="Polígono de frecuencias" sheetId="8" r:id="rId9"/>
  </sheets>
  <definedNames>
    <definedName name="_xlchart.v1.0" hidden="1">Histograma!$A$2:$A$8</definedName>
    <definedName name="_xlchart.v1.1" hidden="1">Histograma!$B$1</definedName>
    <definedName name="_xlchart.v1.2" hidden="1">Histograma!$B$2:$B$8</definedName>
    <definedName name="_xlchart.v1.3" hidden="1">Histograma!$A$2:$A$8</definedName>
    <definedName name="_xlchart.v1.4" hidden="1">Histograma!$B$1</definedName>
    <definedName name="_xlchart.v1.5" hidden="1">Histograma!$B$2:$B$8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6" l="1"/>
  <c r="I5" i="6" s="1"/>
  <c r="I6" i="6" s="1"/>
  <c r="I7" i="6" s="1"/>
  <c r="I8" i="6" s="1"/>
  <c r="I3" i="6"/>
  <c r="I2" i="6"/>
  <c r="H3" i="6"/>
  <c r="H4" i="6"/>
  <c r="H5" i="6"/>
  <c r="H6" i="6"/>
  <c r="H7" i="6"/>
  <c r="H8" i="6"/>
  <c r="H9" i="6"/>
  <c r="H2" i="6"/>
  <c r="G8" i="6"/>
  <c r="G4" i="6"/>
  <c r="G5" i="6" s="1"/>
  <c r="G6" i="6" s="1"/>
  <c r="G7" i="6" s="1"/>
  <c r="G3" i="6"/>
  <c r="G2" i="6"/>
  <c r="F2" i="6" a="1"/>
  <c r="F2" i="6" s="1"/>
  <c r="E2" i="6"/>
  <c r="D2" i="6"/>
  <c r="A3" i="6"/>
  <c r="G8" i="11"/>
  <c r="F8" i="11"/>
  <c r="E8" i="11"/>
  <c r="D8" i="11"/>
  <c r="C8" i="11"/>
  <c r="G7" i="11"/>
  <c r="F7" i="11"/>
  <c r="E7" i="11"/>
  <c r="D7" i="11"/>
  <c r="C7" i="11"/>
  <c r="G6" i="11"/>
  <c r="F6" i="11"/>
  <c r="E6" i="11"/>
  <c r="D6" i="11"/>
  <c r="C6" i="11"/>
  <c r="G5" i="11"/>
  <c r="F5" i="11"/>
  <c r="E5" i="11"/>
  <c r="D5" i="11"/>
  <c r="C5" i="11"/>
  <c r="G4" i="11"/>
  <c r="F4" i="11"/>
  <c r="E4" i="11"/>
  <c r="D4" i="11"/>
  <c r="C4" i="11"/>
  <c r="G3" i="11"/>
  <c r="F3" i="11"/>
  <c r="E3" i="11"/>
  <c r="D3" i="11"/>
  <c r="C3" i="11"/>
  <c r="G2" i="11"/>
  <c r="F2" i="11"/>
  <c r="E2" i="11"/>
  <c r="D2" i="11"/>
  <c r="C2" i="11"/>
  <c r="B3" i="11"/>
  <c r="B2" i="11"/>
  <c r="B8" i="11"/>
  <c r="B7" i="11"/>
  <c r="B6" i="11"/>
  <c r="B5" i="11"/>
  <c r="B4" i="11"/>
  <c r="A3" i="5" a="1"/>
  <c r="A3" i="5" s="1"/>
  <c r="A4" i="5" a="1"/>
  <c r="A4" i="5" s="1"/>
  <c r="A6" i="5" a="1"/>
  <c r="A6" i="5" s="1"/>
  <c r="A7" i="5" a="1"/>
  <c r="A7" i="5" s="1"/>
  <c r="A10" i="5" a="1"/>
  <c r="A10" i="5" s="1"/>
  <c r="A13" i="5" a="1"/>
  <c r="A13" i="5" s="1"/>
  <c r="C11" i="5" a="1"/>
  <c r="C11" i="5" s="1"/>
  <c r="C10" i="5" a="1"/>
  <c r="C10" i="5" s="1"/>
  <c r="C8" i="5" a="1"/>
  <c r="C8" i="5" s="1"/>
  <c r="C6" i="5" a="1"/>
  <c r="C6" i="5" s="1"/>
  <c r="C3" i="5" a="1"/>
  <c r="C3" i="5" s="1"/>
  <c r="B2" i="2"/>
  <c r="D2" i="2" s="1"/>
  <c r="E2" i="2" s="1"/>
  <c r="B3" i="2"/>
  <c r="D3" i="2" s="1"/>
  <c r="C3" i="4"/>
  <c r="C4" i="4"/>
  <c r="C5" i="4"/>
  <c r="C6" i="4"/>
  <c r="C7" i="4"/>
  <c r="C8" i="4"/>
  <c r="C2" i="4"/>
  <c r="D4" i="2"/>
  <c r="D9" i="2"/>
  <c r="B8" i="2"/>
  <c r="D8" i="2" s="1"/>
  <c r="B7" i="2"/>
  <c r="D7" i="2" s="1"/>
  <c r="B6" i="2"/>
  <c r="D6" i="2" s="1"/>
  <c r="B5" i="2"/>
  <c r="D5" i="2" s="1"/>
  <c r="B4" i="2"/>
  <c r="B3" i="6" l="1"/>
  <c r="D3" i="6"/>
  <c r="E3" i="2"/>
  <c r="E4" i="2" s="1"/>
  <c r="E5" i="2" s="1"/>
  <c r="E6" i="2" s="1"/>
  <c r="E7" i="2" s="1"/>
  <c r="E8" i="2" s="1"/>
  <c r="C2" i="2"/>
  <c r="C3" i="2" s="1"/>
  <c r="C4" i="2" s="1"/>
  <c r="C5" i="2" s="1"/>
  <c r="C6" i="2" s="1"/>
  <c r="C7" i="2" s="1"/>
  <c r="C8" i="2" s="1"/>
  <c r="A4" i="6" l="1"/>
  <c r="E3" i="6"/>
  <c r="D4" i="6" l="1"/>
  <c r="B4" i="6"/>
  <c r="E4" i="6" s="1"/>
  <c r="A5" i="6" l="1"/>
  <c r="B5" i="6" l="1"/>
  <c r="E5" i="6" s="1"/>
  <c r="D5" i="6" l="1"/>
  <c r="A6" i="6"/>
  <c r="B6" i="6" l="1"/>
  <c r="E6" i="6" s="1"/>
  <c r="D6" i="6" l="1"/>
  <c r="A7" i="6"/>
  <c r="B7" i="6" l="1"/>
  <c r="D7" i="6"/>
  <c r="E7" i="6"/>
  <c r="A8" i="6" l="1"/>
  <c r="B8" i="6" l="1"/>
  <c r="D8" i="6"/>
  <c r="E8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<sst xmlns="http://schemas.openxmlformats.org/spreadsheetml/2006/main" count="188" uniqueCount="59">
  <si>
    <t>Año</t>
  </si>
  <si>
    <t>Categoría</t>
  </si>
  <si>
    <t>Producto</t>
  </si>
  <si>
    <t>Ventas</t>
  </si>
  <si>
    <t>Componentes</t>
  </si>
  <si>
    <t>Cadenas</t>
  </si>
  <si>
    <t>Ropa</t>
  </si>
  <si>
    <t>Mallas</t>
  </si>
  <si>
    <t>Suplementos</t>
  </si>
  <si>
    <t>Gel energético</t>
  </si>
  <si>
    <t>Electrónica</t>
  </si>
  <si>
    <t>GPS de ciclismo</t>
  </si>
  <si>
    <t>Herramientas</t>
  </si>
  <si>
    <t>Multiherramienta</t>
  </si>
  <si>
    <t>Accesorios</t>
  </si>
  <si>
    <t>Cascos</t>
  </si>
  <si>
    <t>Bicicletas</t>
  </si>
  <si>
    <t>Bicicleta de montaña</t>
  </si>
  <si>
    <t>Frenos</t>
  </si>
  <si>
    <t>Guantes</t>
  </si>
  <si>
    <t>Barras de proteína</t>
  </si>
  <si>
    <t>Monitor de frecuencia cardíaca</t>
  </si>
  <si>
    <t>Llave inglesa</t>
  </si>
  <si>
    <t>Luces</t>
  </si>
  <si>
    <t>Bicicleta eléctrica</t>
  </si>
  <si>
    <t>Desviadores</t>
  </si>
  <si>
    <t>Camisetas de ciclismo</t>
  </si>
  <si>
    <t>Sales minerales</t>
  </si>
  <si>
    <t>Cámara de acción</t>
  </si>
  <si>
    <t>Candados</t>
  </si>
  <si>
    <t>Bicicleta de carretera</t>
  </si>
  <si>
    <t>Llantas</t>
  </si>
  <si>
    <t>Jerséis</t>
  </si>
  <si>
    <t>Vitaminas para deportistas</t>
  </si>
  <si>
    <t>Ordenador de bicicleta</t>
  </si>
  <si>
    <t>Desmontables</t>
  </si>
  <si>
    <t>Bicicleta plegable</t>
  </si>
  <si>
    <t>Pedales</t>
  </si>
  <si>
    <t>Calcetines</t>
  </si>
  <si>
    <t>Neumáticos y cámaras</t>
  </si>
  <si>
    <t>Frecuencia Absoluta</t>
  </si>
  <si>
    <t>Frecuencia Absoluta Acumulada</t>
  </si>
  <si>
    <t>Frecuencia Relativa</t>
  </si>
  <si>
    <t>Frecuencia Relativa Acumulada</t>
  </si>
  <si>
    <t>Total</t>
  </si>
  <si>
    <t>Frecuencia Absoluta Acumulada%</t>
  </si>
  <si>
    <t>Electronica</t>
  </si>
  <si>
    <t>Intervalo</t>
  </si>
  <si>
    <t>Marca de clase</t>
  </si>
  <si>
    <t>Frecuencia</t>
  </si>
  <si>
    <t>Frecuencia Acumulada</t>
  </si>
  <si>
    <t>TOTAL</t>
  </si>
  <si>
    <t>1000-8500</t>
  </si>
  <si>
    <t>8500-16000</t>
  </si>
  <si>
    <t>16000-23500</t>
  </si>
  <si>
    <t>23500-31000</t>
  </si>
  <si>
    <t>31000-38500</t>
  </si>
  <si>
    <t>38500-46000</t>
  </si>
  <si>
    <t>46000-53500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</si>
</sst>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B/.&quot;#,##0;[Red]\-&quot;B/.&quot;#,##0"/>
    <numFmt numFmtId="169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6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6" fontId="0" fillId="0" borderId="8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9" xfId="0" applyBorder="1"/>
    <xf numFmtId="0" fontId="0" fillId="3" borderId="1" xfId="0" applyFill="1" applyBorder="1"/>
    <xf numFmtId="0" fontId="0" fillId="0" borderId="0" xfId="0" applyBorder="1" applyAlignment="1">
      <alignment horizontal="center" vertical="center" wrapText="1"/>
    </xf>
    <xf numFmtId="169" fontId="0" fillId="0" borderId="0" xfId="0" applyNumberFormat="1"/>
    <xf numFmtId="2" fontId="0" fillId="0" borderId="1" xfId="0" applyNumberFormat="1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36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GRÁFICA DE BARRAS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'Gráfica de barras'!$B$1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2361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45-4AE0-8519-882CA1439A2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45-4AE0-8519-882CA1439A27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45-4AE0-8519-882CA1439A27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45-4AE0-8519-882CA1439A2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45-4AE0-8519-882CA1439A27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45-4AE0-8519-882CA1439A27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645-4AE0-8519-882CA1439A27}"/>
              </c:ext>
            </c:extLst>
          </c:dPt>
          <c:cat>
            <c:strRef>
              <c:f>'Gráfica de barras'!$A$2:$A$8</c:f>
              <c:strCache>
                <c:ptCount val="7"/>
                <c:pt idx="0">
                  <c:v>Componentes</c:v>
                </c:pt>
                <c:pt idx="1">
                  <c:v>Ropa</c:v>
                </c:pt>
                <c:pt idx="2">
                  <c:v>Suplementos</c:v>
                </c:pt>
                <c:pt idx="3">
                  <c:v>Electrónica</c:v>
                </c:pt>
                <c:pt idx="4">
                  <c:v>Herramientas</c:v>
                </c:pt>
                <c:pt idx="5">
                  <c:v>Accesorios</c:v>
                </c:pt>
                <c:pt idx="6">
                  <c:v>Bicicletas</c:v>
                </c:pt>
              </c:strCache>
            </c:strRef>
          </c:cat>
          <c:val>
            <c:numRef>
              <c:f>'Gráfica de barras'!$B$2:$B$8</c:f>
              <c:numCache>
                <c:formatCode>General</c:formatCode>
                <c:ptCount val="7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5-4AE0-8519-882CA1439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5079264"/>
        <c:axId val="958737088"/>
      </c:barChart>
      <c:catAx>
        <c:axId val="95507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8737088"/>
        <c:crosses val="autoZero"/>
        <c:auto val="1"/>
        <c:lblAlgn val="ctr"/>
        <c:lblOffset val="100"/>
        <c:noMultiLvlLbl val="0"/>
      </c:catAx>
      <c:valAx>
        <c:axId val="95873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07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Gráfica</a:t>
            </a:r>
            <a:r>
              <a:rPr lang="es-ES" baseline="0"/>
              <a:t> de Paretto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 de Paretto'!$B$1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'Gráfica de Paretto'!$A$2:$A$8</c:f>
              <c:strCache>
                <c:ptCount val="7"/>
                <c:pt idx="0">
                  <c:v>Electrónica</c:v>
                </c:pt>
                <c:pt idx="1">
                  <c:v>Componentes</c:v>
                </c:pt>
                <c:pt idx="2">
                  <c:v>Ropa</c:v>
                </c:pt>
                <c:pt idx="3">
                  <c:v>Suplementos</c:v>
                </c:pt>
                <c:pt idx="4">
                  <c:v>Herramientas</c:v>
                </c:pt>
                <c:pt idx="5">
                  <c:v>Accesorios</c:v>
                </c:pt>
                <c:pt idx="6">
                  <c:v>Bicicletas</c:v>
                </c:pt>
              </c:strCache>
            </c:strRef>
          </c:cat>
          <c:val>
            <c:numRef>
              <c:f>'Gráfica de Paretto'!$B$2:$B$8</c:f>
              <c:numCache>
                <c:formatCode>General</c:formatCode>
                <c:ptCount val="7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A-4226-866C-1A2475BF4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858208"/>
        <c:axId val="62854464"/>
      </c:barChart>
      <c:lineChart>
        <c:grouping val="standard"/>
        <c:varyColors val="0"/>
        <c:ser>
          <c:idx val="1"/>
          <c:order val="1"/>
          <c:tx>
            <c:strRef>
              <c:f>'Gráfica de Paretto'!$C$1</c:f>
              <c:strCache>
                <c:ptCount val="1"/>
                <c:pt idx="0">
                  <c:v>Frecuencia Absoluta Acumulada%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'Gráfica de Paretto'!$A$2:$A$8</c:f>
              <c:strCache>
                <c:ptCount val="7"/>
                <c:pt idx="0">
                  <c:v>Electrónica</c:v>
                </c:pt>
                <c:pt idx="1">
                  <c:v>Componentes</c:v>
                </c:pt>
                <c:pt idx="2">
                  <c:v>Ropa</c:v>
                </c:pt>
                <c:pt idx="3">
                  <c:v>Suplementos</c:v>
                </c:pt>
                <c:pt idx="4">
                  <c:v>Herramientas</c:v>
                </c:pt>
                <c:pt idx="5">
                  <c:v>Accesorios</c:v>
                </c:pt>
                <c:pt idx="6">
                  <c:v>Bicicletas</c:v>
                </c:pt>
              </c:strCache>
            </c:strRef>
          </c:cat>
          <c:val>
            <c:numRef>
              <c:f>'Gráfica de Paretto'!$C$2:$C$8</c:f>
              <c:numCache>
                <c:formatCode>0</c:formatCode>
                <c:ptCount val="7"/>
                <c:pt idx="0" formatCode="General">
                  <c:v>20</c:v>
                </c:pt>
                <c:pt idx="1">
                  <c:v>38.181818181818187</c:v>
                </c:pt>
                <c:pt idx="2">
                  <c:v>54.545454545454547</c:v>
                </c:pt>
                <c:pt idx="3">
                  <c:v>67.27272727272728</c:v>
                </c:pt>
                <c:pt idx="4">
                  <c:v>78.181818181818187</c:v>
                </c:pt>
                <c:pt idx="5">
                  <c:v>89.090909090909093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DA-4226-866C-1A2475BF4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54880"/>
        <c:axId val="62857376"/>
      </c:lineChart>
      <c:catAx>
        <c:axId val="6285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854464"/>
        <c:auto val="1"/>
        <c:lblAlgn val="ctr"/>
        <c:lblOffset val="100"/>
        <c:noMultiLvlLbl val="0"/>
      </c:catAx>
      <c:valAx>
        <c:axId val="62854464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858208"/>
        <c:crossBetween val="between"/>
        <c:majorUnit val="5"/>
      </c:valAx>
      <c:valAx>
        <c:axId val="62857376"/>
        <c:scaling>
          <c:orientation val="minMax"/>
          <c:max val="100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854880"/>
        <c:crosses val="max"/>
        <c:crossBetween val="between"/>
        <c:majorUnit val="10"/>
      </c:valAx>
      <c:catAx>
        <c:axId val="62854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857376"/>
        <c:auto val="1"/>
        <c:lblAlgn val="ctr"/>
        <c:lblOffset val="100"/>
        <c:noMultiLvlLbl val="0"/>
      </c:catAx>
      <c:spPr>
        <a:noFill/>
        <a:ln w="6350"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'Gráfica de puntos'!$A$1:$B$1</c:f>
              <c:strCache>
                <c:ptCount val="1"/>
                <c:pt idx="0">
                  <c:v>Electronica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'Gráfica de puntos'!$B$3:$B$13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2025</c:v>
                </c:pt>
              </c:numCache>
            </c:numRef>
          </c:xVal>
          <c:yVal>
            <c:numRef>
              <c:f>'Gráfica de puntos'!$A$3:$A$13</c:f>
              <c:numCache>
                <c:formatCode>General</c:formatCode>
                <c:ptCount val="11"/>
                <c:pt idx="0">
                  <c:v>13700</c:v>
                </c:pt>
                <c:pt idx="1">
                  <c:v>40500</c:v>
                </c:pt>
                <c:pt idx="2">
                  <c:v>40500</c:v>
                </c:pt>
                <c:pt idx="3">
                  <c:v>37900</c:v>
                </c:pt>
                <c:pt idx="4">
                  <c:v>28600</c:v>
                </c:pt>
                <c:pt idx="5">
                  <c:v>37900</c:v>
                </c:pt>
                <c:pt idx="6">
                  <c:v>18300</c:v>
                </c:pt>
                <c:pt idx="7">
                  <c:v>37900</c:v>
                </c:pt>
                <c:pt idx="8">
                  <c:v>28600</c:v>
                </c:pt>
                <c:pt idx="9">
                  <c:v>12400</c:v>
                </c:pt>
                <c:pt idx="10">
                  <c:v>37900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8-4B9F-85E2-C889C6EC76B8}"/>
            </c:ext>
          </c:extLst>
        </c:ser>
        <c:ser>
          <c:idx val="1"/>
          <c:order val="1"/>
          <c:tx>
            <c:strRef>
              <c:f>'Gráfica de puntos'!$C$1:$D$1</c:f>
              <c:strCache>
                <c:ptCount val="1"/>
                <c:pt idx="0">
                  <c:v>Ropa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'Gráfica de puntos'!$D$3:$D$11</c:f>
              <c:numCache>
                <c:formatCode>General</c:formatCode>
                <c:ptCount val="9"/>
                <c:pt idx="0">
                  <c:v>2020</c:v>
                </c:pt>
                <c:pt idx="1">
                  <c:v>2020</c:v>
                </c:pt>
                <c:pt idx="2">
                  <c:v>2020</c:v>
                </c:pt>
                <c:pt idx="3">
                  <c:v>2021</c:v>
                </c:pt>
                <c:pt idx="4">
                  <c:v>2021</c:v>
                </c:pt>
                <c:pt idx="5">
                  <c:v>2023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xVal>
          <c:yVal>
            <c:numRef>
              <c:f>'Gráfica de puntos'!$C$3:$C$11</c:f>
              <c:numCache>
                <c:formatCode>General</c:formatCode>
                <c:ptCount val="9"/>
                <c:pt idx="0">
                  <c:v>12400</c:v>
                </c:pt>
                <c:pt idx="1">
                  <c:v>7400</c:v>
                </c:pt>
                <c:pt idx="2">
                  <c:v>1800</c:v>
                </c:pt>
                <c:pt idx="3">
                  <c:v>3300</c:v>
                </c:pt>
                <c:pt idx="4">
                  <c:v>3300</c:v>
                </c:pt>
                <c:pt idx="5">
                  <c:v>9800</c:v>
                </c:pt>
                <c:pt idx="6">
                  <c:v>9200</c:v>
                </c:pt>
                <c:pt idx="7">
                  <c:v>22500</c:v>
                </c:pt>
                <c:pt idx="8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48-4B9F-85E2-C889C6EC7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745024"/>
        <c:axId val="1926742944"/>
      </c:scatterChart>
      <c:valAx>
        <c:axId val="192674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742944"/>
        <c:crosses val="autoZero"/>
        <c:crossBetween val="midCat"/>
      </c:valAx>
      <c:valAx>
        <c:axId val="19267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74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Gráfica</a:t>
            </a:r>
            <a:r>
              <a:rPr lang="es-ES" baseline="0"/>
              <a:t> de Polígono de Frecuencia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'Polígono de frecuencias'!$A$1</c:f>
              <c:strCache>
                <c:ptCount val="1"/>
                <c:pt idx="0">
                  <c:v>Intervalo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'Polígono de frecuencias'!$A$2:$A$10</c:f>
              <c:strCache>
                <c:ptCount val="9"/>
                <c:pt idx="0">
                  <c:v>0</c:v>
                </c:pt>
                <c:pt idx="1">
                  <c:v>1000-8500</c:v>
                </c:pt>
                <c:pt idx="2">
                  <c:v>8500-16000</c:v>
                </c:pt>
                <c:pt idx="3">
                  <c:v>16000-23500</c:v>
                </c:pt>
                <c:pt idx="4">
                  <c:v>23500-31000</c:v>
                </c:pt>
                <c:pt idx="5">
                  <c:v>31000-38500</c:v>
                </c:pt>
                <c:pt idx="6">
                  <c:v>38500-46000</c:v>
                </c:pt>
                <c:pt idx="7">
                  <c:v>46000-53500</c:v>
                </c:pt>
                <c:pt idx="8">
                  <c:v>0</c:v>
                </c:pt>
              </c:strCache>
            </c:strRef>
          </c:cat>
          <c:val>
            <c:numRef>
              <c:f>'Polígono de frecuencias'!$A$2:$A$10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9-449C-B1C1-359D823FDDA9}"/>
            </c:ext>
          </c:extLst>
        </c:ser>
        <c:ser>
          <c:idx val="1"/>
          <c:order val="1"/>
          <c:tx>
            <c:strRef>
              <c:f>'Polígono de frecuencias'!$B$1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'Polígono de frecuencias'!$A$2:$A$10</c:f>
              <c:strCache>
                <c:ptCount val="9"/>
                <c:pt idx="0">
                  <c:v>0</c:v>
                </c:pt>
                <c:pt idx="1">
                  <c:v>1000-8500</c:v>
                </c:pt>
                <c:pt idx="2">
                  <c:v>8500-16000</c:v>
                </c:pt>
                <c:pt idx="3">
                  <c:v>16000-23500</c:v>
                </c:pt>
                <c:pt idx="4">
                  <c:v>23500-31000</c:v>
                </c:pt>
                <c:pt idx="5">
                  <c:v>31000-38500</c:v>
                </c:pt>
                <c:pt idx="6">
                  <c:v>38500-46000</c:v>
                </c:pt>
                <c:pt idx="7">
                  <c:v>46000-53500</c:v>
                </c:pt>
                <c:pt idx="8">
                  <c:v>0</c:v>
                </c:pt>
              </c:strCache>
            </c:strRef>
          </c:cat>
          <c:val>
            <c:numRef>
              <c:f>'Polígono de frecuencias'!$B$2:$B$10</c:f>
              <c:numCache>
                <c:formatCode>General</c:formatCode>
                <c:ptCount val="9"/>
                <c:pt idx="0">
                  <c:v>0</c:v>
                </c:pt>
                <c:pt idx="1">
                  <c:v>21</c:v>
                </c:pt>
                <c:pt idx="2">
                  <c:v>17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9-449C-B1C1-359D823FD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6073632"/>
        <c:axId val="206071136"/>
      </c:barChart>
      <c:lineChart>
        <c:grouping val="standard"/>
        <c:varyColors val="0"/>
        <c:ser>
          <c:idx val="2"/>
          <c:order val="2"/>
          <c:tx>
            <c:strRef>
              <c:f>'Polígono de frecuencias'!$B$1</c:f>
              <c:strCache>
                <c:ptCount val="1"/>
                <c:pt idx="0">
                  <c:v>Frecuencia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'Polígono de frecuencias'!$C$2:$C$10</c:f>
              <c:numCache>
                <c:formatCode>General</c:formatCode>
                <c:ptCount val="9"/>
                <c:pt idx="0">
                  <c:v>0</c:v>
                </c:pt>
                <c:pt idx="1">
                  <c:v>5250</c:v>
                </c:pt>
                <c:pt idx="2">
                  <c:v>16500</c:v>
                </c:pt>
                <c:pt idx="3">
                  <c:v>27750</c:v>
                </c:pt>
                <c:pt idx="4">
                  <c:v>39000</c:v>
                </c:pt>
                <c:pt idx="5">
                  <c:v>50250</c:v>
                </c:pt>
                <c:pt idx="6">
                  <c:v>61500</c:v>
                </c:pt>
                <c:pt idx="7">
                  <c:v>72750</c:v>
                </c:pt>
                <c:pt idx="8">
                  <c:v>0</c:v>
                </c:pt>
              </c:numCache>
            </c:numRef>
          </c:cat>
          <c:val>
            <c:numRef>
              <c:f>'Polígono de frecuencias'!$B$2:$B$10</c:f>
              <c:numCache>
                <c:formatCode>General</c:formatCode>
                <c:ptCount val="9"/>
                <c:pt idx="0">
                  <c:v>0</c:v>
                </c:pt>
                <c:pt idx="1">
                  <c:v>21</c:v>
                </c:pt>
                <c:pt idx="2">
                  <c:v>17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A9-449C-B1C1-359D823FD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73632"/>
        <c:axId val="206071136"/>
      </c:lineChart>
      <c:catAx>
        <c:axId val="2060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071136"/>
        <c:crosses val="autoZero"/>
        <c:auto val="1"/>
        <c:lblAlgn val="ctr"/>
        <c:lblOffset val="100"/>
        <c:noMultiLvlLbl val="0"/>
      </c:catAx>
      <c:valAx>
        <c:axId val="20607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07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Histograma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Histograma</a:t>
          </a:r>
        </a:p>
      </cx:txPr>
    </cx:title>
    <cx:plotArea>
      <cx:plotAreaRegion>
        <cx:series layoutId="clusteredColumn" uniqueId="{F34069AE-F574-4780-8AAD-BFFB023601C8}">
          <cx:tx>
            <cx:txData>
              <cx:f>_xlchart.v1.1</cx:f>
              <cx:v>Frecuencia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615950</xdr:colOff>
      <xdr:row>0</xdr:row>
      <xdr:rowOff>139700</xdr:rowOff>
    </xdr:from>
    <xdr:to>
      <xdr:col>9</xdr:col>
      <xdr:colOff>19050</xdr:colOff>
      <xdr:row>18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B9FAB7-55E7-4A49-AE1A-7E2CFA95A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0</xdr:row>
      <xdr:rowOff>355600</xdr:rowOff>
    </xdr:from>
    <xdr:to>
      <xdr:col>9</xdr:col>
      <xdr:colOff>342900</xdr:colOff>
      <xdr:row>15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34FB95-7F76-4926-8D09-15F137072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1</xdr:row>
      <xdr:rowOff>31750</xdr:rowOff>
    </xdr:from>
    <xdr:to>
      <xdr:col>10</xdr:col>
      <xdr:colOff>635000</xdr:colOff>
      <xdr:row>18</xdr:row>
      <xdr:rowOff>19050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E1B5857-C8E6-4A1A-A05A-F146DBF03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3</xdr:row>
      <xdr:rowOff>25400</xdr:rowOff>
    </xdr:from>
    <xdr:to>
      <xdr:col>9</xdr:col>
      <xdr:colOff>711200</xdr:colOff>
      <xdr:row>18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0B396CA-9CE6-4278-A7D4-B9E3987524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8700" y="558800"/>
              <a:ext cx="58483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0</xdr:rowOff>
    </xdr:from>
    <xdr:to>
      <xdr:col>9</xdr:col>
      <xdr:colOff>527050</xdr:colOff>
      <xdr:row>16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7D8A139-B724-43A4-9EBE-BE2985618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8FFE-6361-4047-BA7C-234D0CCAB27B}">
  <dimension ref="A1:D56"/>
  <sheetViews>
    <sheetView workbookViewId="0">
      <selection activeCell="D56" sqref="D56"/>
    </sheetView>
  </sheetViews>
  <sheetFormatPr baseColWidth="10" defaultRowHeight="14"/>
  <cols>
    <col min="1" max="1" width="8.75" style="1" customWidth="1"/>
    <col min="2" max="2" width="15.83203125" customWidth="1"/>
    <col min="3" max="3" width="23.1640625" customWidth="1"/>
  </cols>
  <sheetData>
    <row r="1" spans="1:4" ht="36" customHeight="1">
      <c r="A1" s="3" t="s">
        <v>0</v>
      </c>
      <c r="B1" s="4" t="s">
        <v>1</v>
      </c>
      <c r="C1" s="4" t="s">
        <v>2</v>
      </c>
      <c r="D1" s="5" t="s">
        <v>3</v>
      </c>
    </row>
    <row r="2" spans="1:4" ht="36" customHeight="1">
      <c r="A2" s="6">
        <v>2023</v>
      </c>
      <c r="B2" s="2" t="s">
        <v>4</v>
      </c>
      <c r="C2" s="2" t="s">
        <v>5</v>
      </c>
      <c r="D2" s="7">
        <v>15300</v>
      </c>
    </row>
    <row r="3" spans="1:4" ht="36" customHeight="1">
      <c r="A3" s="6">
        <v>2020</v>
      </c>
      <c r="B3" s="2" t="s">
        <v>6</v>
      </c>
      <c r="C3" s="2" t="s">
        <v>7</v>
      </c>
      <c r="D3" s="7">
        <v>12400</v>
      </c>
    </row>
    <row r="4" spans="1:4" ht="36" customHeight="1">
      <c r="A4" s="6">
        <v>2025</v>
      </c>
      <c r="B4" s="2" t="s">
        <v>8</v>
      </c>
      <c r="C4" s="2" t="s">
        <v>9</v>
      </c>
      <c r="D4" s="7">
        <v>8600</v>
      </c>
    </row>
    <row r="5" spans="1:4" ht="36" customHeight="1">
      <c r="A5" s="6">
        <v>2021</v>
      </c>
      <c r="B5" s="2" t="s">
        <v>10</v>
      </c>
      <c r="C5" s="2" t="s">
        <v>11</v>
      </c>
      <c r="D5" s="7">
        <v>40500</v>
      </c>
    </row>
    <row r="6" spans="1:4" ht="36" customHeight="1">
      <c r="A6" s="6">
        <v>2024</v>
      </c>
      <c r="B6" s="2" t="s">
        <v>12</v>
      </c>
      <c r="C6" s="2" t="s">
        <v>13</v>
      </c>
      <c r="D6" s="7">
        <v>4800</v>
      </c>
    </row>
    <row r="7" spans="1:4" ht="36" customHeight="1">
      <c r="A7" s="6">
        <v>2023</v>
      </c>
      <c r="B7" s="2" t="s">
        <v>14</v>
      </c>
      <c r="C7" s="2" t="s">
        <v>15</v>
      </c>
      <c r="D7" s="7">
        <v>18300</v>
      </c>
    </row>
    <row r="8" spans="1:4" ht="36" customHeight="1">
      <c r="A8" s="6">
        <v>2022</v>
      </c>
      <c r="B8" s="2" t="s">
        <v>16</v>
      </c>
      <c r="C8" s="2" t="s">
        <v>17</v>
      </c>
      <c r="D8" s="7">
        <v>14500</v>
      </c>
    </row>
    <row r="9" spans="1:4" ht="36" customHeight="1">
      <c r="A9" s="6">
        <v>2025</v>
      </c>
      <c r="B9" s="2" t="s">
        <v>4</v>
      </c>
      <c r="C9" s="2" t="s">
        <v>18</v>
      </c>
      <c r="D9" s="7">
        <v>5200</v>
      </c>
    </row>
    <row r="10" spans="1:4" ht="36" customHeight="1">
      <c r="A10" s="6">
        <v>2021</v>
      </c>
      <c r="B10" s="2" t="s">
        <v>6</v>
      </c>
      <c r="C10" s="2" t="s">
        <v>19</v>
      </c>
      <c r="D10" s="7">
        <v>3300</v>
      </c>
    </row>
    <row r="11" spans="1:4" ht="36" customHeight="1">
      <c r="A11" s="6">
        <v>2020</v>
      </c>
      <c r="B11" s="2" t="s">
        <v>8</v>
      </c>
      <c r="C11" s="2" t="s">
        <v>20</v>
      </c>
      <c r="D11" s="7">
        <v>10500</v>
      </c>
    </row>
    <row r="12" spans="1:4" ht="36" customHeight="1">
      <c r="A12" s="6">
        <v>2024</v>
      </c>
      <c r="B12" s="2" t="s">
        <v>10</v>
      </c>
      <c r="C12" s="2" t="s">
        <v>21</v>
      </c>
      <c r="D12" s="7">
        <v>37900</v>
      </c>
    </row>
    <row r="13" spans="1:4" ht="36" customHeight="1">
      <c r="A13" s="6">
        <v>2023</v>
      </c>
      <c r="B13" s="2" t="s">
        <v>12</v>
      </c>
      <c r="C13" s="2" t="s">
        <v>22</v>
      </c>
      <c r="D13" s="7">
        <v>2400</v>
      </c>
    </row>
    <row r="14" spans="1:4" ht="36" customHeight="1">
      <c r="A14" s="6">
        <v>2022</v>
      </c>
      <c r="B14" s="2" t="s">
        <v>14</v>
      </c>
      <c r="C14" s="2" t="s">
        <v>23</v>
      </c>
      <c r="D14" s="7">
        <v>24700</v>
      </c>
    </row>
    <row r="15" spans="1:4" ht="36" customHeight="1">
      <c r="A15" s="6">
        <v>2025</v>
      </c>
      <c r="B15" s="2" t="s">
        <v>16</v>
      </c>
      <c r="C15" s="2" t="s">
        <v>24</v>
      </c>
      <c r="D15" s="7">
        <v>53200</v>
      </c>
    </row>
    <row r="16" spans="1:4" ht="36" customHeight="1">
      <c r="A16" s="6">
        <v>2021</v>
      </c>
      <c r="B16" s="2" t="s">
        <v>4</v>
      </c>
      <c r="C16" s="2" t="s">
        <v>25</v>
      </c>
      <c r="D16" s="7">
        <v>4300</v>
      </c>
    </row>
    <row r="17" spans="1:4" ht="36" customHeight="1">
      <c r="A17" s="6">
        <v>2024</v>
      </c>
      <c r="B17" s="2" t="s">
        <v>6</v>
      </c>
      <c r="C17" s="2" t="s">
        <v>26</v>
      </c>
      <c r="D17" s="7">
        <v>22500</v>
      </c>
    </row>
    <row r="18" spans="1:4" ht="36" customHeight="1">
      <c r="A18" s="6">
        <v>2020</v>
      </c>
      <c r="B18" s="2" t="s">
        <v>8</v>
      </c>
      <c r="C18" s="2" t="s">
        <v>27</v>
      </c>
      <c r="D18" s="7">
        <v>7300</v>
      </c>
    </row>
    <row r="19" spans="1:4" ht="36" customHeight="1">
      <c r="A19" s="6">
        <v>2023</v>
      </c>
      <c r="B19" s="2" t="s">
        <v>10</v>
      </c>
      <c r="C19" s="2" t="s">
        <v>28</v>
      </c>
      <c r="D19" s="7">
        <v>28600</v>
      </c>
    </row>
    <row r="20" spans="1:4" ht="36" customHeight="1">
      <c r="A20" s="6">
        <v>2025</v>
      </c>
      <c r="B20" s="2" t="s">
        <v>6</v>
      </c>
      <c r="C20" s="2" t="s">
        <v>19</v>
      </c>
      <c r="D20" s="7">
        <v>1200</v>
      </c>
    </row>
    <row r="21" spans="1:4" ht="36" customHeight="1">
      <c r="A21" s="6">
        <v>2022</v>
      </c>
      <c r="B21" s="2" t="s">
        <v>14</v>
      </c>
      <c r="C21" s="2" t="s">
        <v>29</v>
      </c>
      <c r="D21" s="7">
        <v>32000</v>
      </c>
    </row>
    <row r="22" spans="1:4" ht="36" customHeight="1">
      <c r="A22" s="6">
        <v>2021</v>
      </c>
      <c r="B22" s="2" t="s">
        <v>16</v>
      </c>
      <c r="C22" s="2" t="s">
        <v>30</v>
      </c>
      <c r="D22" s="7">
        <v>13700</v>
      </c>
    </row>
    <row r="23" spans="1:4" ht="36" customHeight="1">
      <c r="A23" s="6">
        <v>2024</v>
      </c>
      <c r="B23" s="2" t="s">
        <v>4</v>
      </c>
      <c r="C23" s="2" t="s">
        <v>31</v>
      </c>
      <c r="D23" s="7">
        <v>6800</v>
      </c>
    </row>
    <row r="24" spans="1:4" ht="36" customHeight="1">
      <c r="A24" s="6">
        <v>2020</v>
      </c>
      <c r="B24" s="2" t="s">
        <v>6</v>
      </c>
      <c r="C24" s="2" t="s">
        <v>32</v>
      </c>
      <c r="D24" s="7">
        <v>7400</v>
      </c>
    </row>
    <row r="25" spans="1:4" ht="36" customHeight="1">
      <c r="A25" s="6">
        <v>2025</v>
      </c>
      <c r="B25" s="2" t="s">
        <v>8</v>
      </c>
      <c r="C25" s="2" t="s">
        <v>33</v>
      </c>
      <c r="D25" s="7">
        <v>6700</v>
      </c>
    </row>
    <row r="26" spans="1:4" ht="36" customHeight="1">
      <c r="A26" s="6">
        <v>2023</v>
      </c>
      <c r="B26" s="2" t="s">
        <v>10</v>
      </c>
      <c r="C26" s="2" t="s">
        <v>34</v>
      </c>
      <c r="D26" s="7">
        <v>37900</v>
      </c>
    </row>
    <row r="27" spans="1:4" ht="36" customHeight="1">
      <c r="A27" s="6">
        <v>2021</v>
      </c>
      <c r="B27" s="2" t="s">
        <v>12</v>
      </c>
      <c r="C27" s="2" t="s">
        <v>35</v>
      </c>
      <c r="D27" s="7">
        <v>1000</v>
      </c>
    </row>
    <row r="28" spans="1:4" ht="36" customHeight="1">
      <c r="A28" s="6">
        <v>2022</v>
      </c>
      <c r="B28" s="2" t="s">
        <v>4</v>
      </c>
      <c r="C28" s="2" t="s">
        <v>31</v>
      </c>
      <c r="D28" s="7">
        <v>9900</v>
      </c>
    </row>
    <row r="29" spans="1:4" ht="36" customHeight="1">
      <c r="A29" s="6">
        <v>2024</v>
      </c>
      <c r="B29" s="2" t="s">
        <v>16</v>
      </c>
      <c r="C29" s="2" t="s">
        <v>36</v>
      </c>
      <c r="D29" s="7">
        <v>15000</v>
      </c>
    </row>
    <row r="30" spans="1:4" ht="36" customHeight="1">
      <c r="A30" s="6">
        <v>2025</v>
      </c>
      <c r="B30" s="2" t="s">
        <v>4</v>
      </c>
      <c r="C30" s="2" t="s">
        <v>37</v>
      </c>
      <c r="D30" s="7">
        <v>4900</v>
      </c>
    </row>
    <row r="31" spans="1:4" ht="36" customHeight="1">
      <c r="A31" s="6">
        <v>2020</v>
      </c>
      <c r="B31" s="2" t="s">
        <v>6</v>
      </c>
      <c r="C31" s="2" t="s">
        <v>38</v>
      </c>
      <c r="D31" s="7">
        <v>1800</v>
      </c>
    </row>
    <row r="32" spans="1:4" ht="36" customHeight="1">
      <c r="A32" s="6">
        <v>2023</v>
      </c>
      <c r="B32" s="2" t="s">
        <v>6</v>
      </c>
      <c r="C32" s="2" t="s">
        <v>32</v>
      </c>
      <c r="D32" s="7">
        <v>9800</v>
      </c>
    </row>
    <row r="33" spans="1:4" ht="36" customHeight="1">
      <c r="A33" s="6">
        <v>2021</v>
      </c>
      <c r="B33" s="2" t="s">
        <v>10</v>
      </c>
      <c r="C33" s="2" t="s">
        <v>11</v>
      </c>
      <c r="D33" s="7">
        <v>40500</v>
      </c>
    </row>
    <row r="34" spans="1:4" ht="36" customHeight="1">
      <c r="A34" s="6">
        <v>2024</v>
      </c>
      <c r="B34" s="2" t="s">
        <v>4</v>
      </c>
      <c r="C34" s="2" t="s">
        <v>37</v>
      </c>
      <c r="D34" s="7">
        <v>4800</v>
      </c>
    </row>
    <row r="35" spans="1:4" ht="36" customHeight="1">
      <c r="A35" s="6">
        <v>2022</v>
      </c>
      <c r="B35" s="2" t="s">
        <v>14</v>
      </c>
      <c r="C35" s="2" t="s">
        <v>29</v>
      </c>
      <c r="D35" s="7">
        <v>24700</v>
      </c>
    </row>
    <row r="36" spans="1:4" ht="36" customHeight="1">
      <c r="A36" s="6">
        <v>2025</v>
      </c>
      <c r="B36" s="2" t="s">
        <v>16</v>
      </c>
      <c r="C36" s="2" t="s">
        <v>17</v>
      </c>
      <c r="D36" s="7">
        <v>14500</v>
      </c>
    </row>
    <row r="37" spans="1:4" ht="36" customHeight="1">
      <c r="A37" s="6">
        <v>2020</v>
      </c>
      <c r="B37" s="2" t="s">
        <v>4</v>
      </c>
      <c r="C37" s="2" t="s">
        <v>5</v>
      </c>
      <c r="D37" s="7">
        <v>15500</v>
      </c>
    </row>
    <row r="38" spans="1:4" ht="36" customHeight="1">
      <c r="A38" s="6">
        <v>2023</v>
      </c>
      <c r="B38" s="2" t="s">
        <v>6</v>
      </c>
      <c r="C38" s="2" t="s">
        <v>32</v>
      </c>
      <c r="D38" s="7">
        <v>9200</v>
      </c>
    </row>
    <row r="39" spans="1:4" ht="36" customHeight="1">
      <c r="A39" s="6">
        <v>2021</v>
      </c>
      <c r="B39" s="2" t="s">
        <v>8</v>
      </c>
      <c r="C39" s="2" t="s">
        <v>27</v>
      </c>
      <c r="D39" s="7">
        <v>7300</v>
      </c>
    </row>
    <row r="40" spans="1:4" ht="36" customHeight="1">
      <c r="A40" s="6">
        <v>2024</v>
      </c>
      <c r="B40" s="2" t="s">
        <v>10</v>
      </c>
      <c r="C40" s="2" t="s">
        <v>28</v>
      </c>
      <c r="D40" s="7">
        <v>28600</v>
      </c>
    </row>
    <row r="41" spans="1:4" ht="36" customHeight="1">
      <c r="A41" s="6">
        <v>2022</v>
      </c>
      <c r="B41" s="2" t="s">
        <v>12</v>
      </c>
      <c r="C41" s="2" t="s">
        <v>22</v>
      </c>
      <c r="D41" s="7">
        <v>2400</v>
      </c>
    </row>
    <row r="42" spans="1:4" ht="36" customHeight="1">
      <c r="A42" s="6">
        <v>2025</v>
      </c>
      <c r="B42" s="2" t="s">
        <v>14</v>
      </c>
      <c r="C42" s="2" t="s">
        <v>39</v>
      </c>
      <c r="D42" s="7">
        <v>34500</v>
      </c>
    </row>
    <row r="43" spans="1:4" ht="36" customHeight="1">
      <c r="A43" s="6">
        <v>2020</v>
      </c>
      <c r="B43" s="2" t="s">
        <v>10</v>
      </c>
      <c r="C43" s="2" t="s">
        <v>34</v>
      </c>
      <c r="D43" s="7">
        <v>13700</v>
      </c>
    </row>
    <row r="44" spans="1:4" ht="36" customHeight="1">
      <c r="A44" s="6">
        <v>2023</v>
      </c>
      <c r="B44" s="2" t="s">
        <v>4</v>
      </c>
      <c r="C44" s="2" t="s">
        <v>18</v>
      </c>
      <c r="D44" s="7">
        <v>5200</v>
      </c>
    </row>
    <row r="45" spans="1:4" ht="36" customHeight="1">
      <c r="A45" s="6">
        <v>2021</v>
      </c>
      <c r="B45" s="2" t="s">
        <v>6</v>
      </c>
      <c r="C45" s="2" t="s">
        <v>19</v>
      </c>
      <c r="D45" s="7">
        <v>3300</v>
      </c>
    </row>
    <row r="46" spans="1:4" ht="36" customHeight="1">
      <c r="A46" s="6">
        <v>2024</v>
      </c>
      <c r="B46" s="2" t="s">
        <v>8</v>
      </c>
      <c r="C46" s="2" t="s">
        <v>9</v>
      </c>
      <c r="D46" s="7">
        <v>8600</v>
      </c>
    </row>
    <row r="47" spans="1:4" ht="36" customHeight="1">
      <c r="A47" s="6">
        <v>2022</v>
      </c>
      <c r="B47" s="2" t="s">
        <v>10</v>
      </c>
      <c r="C47" s="2" t="s">
        <v>21</v>
      </c>
      <c r="D47" s="7">
        <v>37900</v>
      </c>
    </row>
    <row r="48" spans="1:4" ht="36" customHeight="1">
      <c r="A48" s="6">
        <v>2025</v>
      </c>
      <c r="B48" s="2" t="s">
        <v>12</v>
      </c>
      <c r="C48" s="2" t="s">
        <v>35</v>
      </c>
      <c r="D48" s="7">
        <v>1000</v>
      </c>
    </row>
    <row r="49" spans="1:4" ht="36" customHeight="1">
      <c r="A49" s="6">
        <v>2023</v>
      </c>
      <c r="B49" s="2" t="s">
        <v>10</v>
      </c>
      <c r="C49" s="2" t="s">
        <v>11</v>
      </c>
      <c r="D49" s="7">
        <v>18300</v>
      </c>
    </row>
    <row r="50" spans="1:4" ht="36" customHeight="1">
      <c r="A50" s="6">
        <v>2021</v>
      </c>
      <c r="B50" s="2" t="s">
        <v>16</v>
      </c>
      <c r="C50" s="2" t="s">
        <v>17</v>
      </c>
      <c r="D50" s="7">
        <v>14500</v>
      </c>
    </row>
    <row r="51" spans="1:4" ht="36" customHeight="1">
      <c r="A51" s="6">
        <v>2020</v>
      </c>
      <c r="B51" s="2" t="s">
        <v>4</v>
      </c>
      <c r="C51" s="2" t="s">
        <v>31</v>
      </c>
      <c r="D51" s="7">
        <v>6800</v>
      </c>
    </row>
    <row r="52" spans="1:4" ht="36" customHeight="1">
      <c r="A52" s="6">
        <v>2024</v>
      </c>
      <c r="B52" s="2" t="s">
        <v>10</v>
      </c>
      <c r="C52" s="2" t="s">
        <v>28</v>
      </c>
      <c r="D52" s="7">
        <v>12400</v>
      </c>
    </row>
    <row r="53" spans="1:4" ht="36" customHeight="1">
      <c r="A53" s="6">
        <v>2022</v>
      </c>
      <c r="B53" s="2" t="s">
        <v>8</v>
      </c>
      <c r="C53" s="2" t="s">
        <v>20</v>
      </c>
      <c r="D53" s="7">
        <v>10500</v>
      </c>
    </row>
    <row r="54" spans="1:4" ht="36" customHeight="1">
      <c r="A54" s="6">
        <v>2025</v>
      </c>
      <c r="B54" s="2" t="s">
        <v>10</v>
      </c>
      <c r="C54" s="2" t="s">
        <v>34</v>
      </c>
      <c r="D54" s="7">
        <v>37900</v>
      </c>
    </row>
    <row r="55" spans="1:4" ht="36" customHeight="1">
      <c r="A55" s="6">
        <v>2023</v>
      </c>
      <c r="B55" s="2" t="s">
        <v>12</v>
      </c>
      <c r="C55" s="2" t="s">
        <v>22</v>
      </c>
      <c r="D55" s="7">
        <v>2400</v>
      </c>
    </row>
    <row r="56" spans="1:4" ht="36" customHeight="1" thickBot="1">
      <c r="A56" s="6">
        <v>2021</v>
      </c>
      <c r="B56" s="2" t="s">
        <v>14</v>
      </c>
      <c r="C56" s="8" t="s">
        <v>39</v>
      </c>
      <c r="D56" s="9">
        <v>34500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C07F-CB11-4F9F-A947-5FA3797F8E69}">
  <dimension ref="A1:E9"/>
  <sheetViews>
    <sheetView workbookViewId="0">
      <selection activeCell="C12" sqref="C12"/>
    </sheetView>
  </sheetViews>
  <sheetFormatPr baseColWidth="10" defaultRowHeight="14"/>
  <cols>
    <col min="1" max="1" width="20.58203125" customWidth="1"/>
    <col min="4" max="4" width="13.25" bestFit="1" customWidth="1"/>
  </cols>
  <sheetData>
    <row r="1" spans="1:5" ht="42">
      <c r="A1" s="11" t="s">
        <v>1</v>
      </c>
      <c r="B1" s="11" t="s">
        <v>40</v>
      </c>
      <c r="C1" s="11" t="s">
        <v>41</v>
      </c>
      <c r="D1" s="11" t="s">
        <v>42</v>
      </c>
      <c r="E1" s="11" t="s">
        <v>43</v>
      </c>
    </row>
    <row r="2" spans="1:5">
      <c r="A2" s="12" t="s">
        <v>4</v>
      </c>
      <c r="B2" s="13">
        <f>COUNTIF(Datos!B2:B56, "Componentes")</f>
        <v>10</v>
      </c>
      <c r="C2" s="13">
        <f>B2</f>
        <v>10</v>
      </c>
      <c r="D2" s="14">
        <f>B2/55</f>
        <v>0.18181818181818182</v>
      </c>
      <c r="E2" s="14">
        <f>D2</f>
        <v>0.18181818181818182</v>
      </c>
    </row>
    <row r="3" spans="1:5">
      <c r="A3" s="12" t="s">
        <v>6</v>
      </c>
      <c r="B3" s="13">
        <f>COUNTIF(Datos!B2:B56, "Ropa")</f>
        <v>9</v>
      </c>
      <c r="C3" s="13">
        <f>C2+B3</f>
        <v>19</v>
      </c>
      <c r="D3" s="14">
        <f t="shared" ref="D3:D9" si="0">B3/55</f>
        <v>0.16363636363636364</v>
      </c>
      <c r="E3" s="14">
        <f>E2+D3</f>
        <v>0.34545454545454546</v>
      </c>
    </row>
    <row r="4" spans="1:5">
      <c r="A4" s="12" t="s">
        <v>8</v>
      </c>
      <c r="B4" s="13">
        <f>COUNTIF(Datos!B2:B56, "Suplementos")</f>
        <v>7</v>
      </c>
      <c r="C4" s="13">
        <f t="shared" ref="C4:C8" si="1">C3+B4</f>
        <v>26</v>
      </c>
      <c r="D4" s="14">
        <f t="shared" si="0"/>
        <v>0.12727272727272726</v>
      </c>
      <c r="E4" s="14">
        <f t="shared" ref="E4:E8" si="2">E3+D4</f>
        <v>0.47272727272727272</v>
      </c>
    </row>
    <row r="5" spans="1:5">
      <c r="A5" s="12" t="s">
        <v>10</v>
      </c>
      <c r="B5" s="13">
        <f>COUNTIF(Datos!B2:B56, "Electrónica")</f>
        <v>11</v>
      </c>
      <c r="C5" s="13">
        <f t="shared" si="1"/>
        <v>37</v>
      </c>
      <c r="D5" s="14">
        <f t="shared" si="0"/>
        <v>0.2</v>
      </c>
      <c r="E5" s="14">
        <f t="shared" si="2"/>
        <v>0.67272727272727273</v>
      </c>
    </row>
    <row r="6" spans="1:5">
      <c r="A6" s="12" t="s">
        <v>12</v>
      </c>
      <c r="B6" s="13">
        <f>COUNTIF(Datos!B2:B56, "Herramientas")</f>
        <v>6</v>
      </c>
      <c r="C6" s="13">
        <f t="shared" si="1"/>
        <v>43</v>
      </c>
      <c r="D6" s="14">
        <f t="shared" si="0"/>
        <v>0.10909090909090909</v>
      </c>
      <c r="E6" s="14">
        <f t="shared" si="2"/>
        <v>0.78181818181818186</v>
      </c>
    </row>
    <row r="7" spans="1:5">
      <c r="A7" s="12" t="s">
        <v>14</v>
      </c>
      <c r="B7" s="13">
        <f>COUNTIF(Datos!B2:B56, "Accesorios")</f>
        <v>6</v>
      </c>
      <c r="C7" s="13">
        <f t="shared" si="1"/>
        <v>49</v>
      </c>
      <c r="D7" s="14">
        <f t="shared" si="0"/>
        <v>0.10909090909090909</v>
      </c>
      <c r="E7" s="14">
        <f t="shared" si="2"/>
        <v>0.89090909090909098</v>
      </c>
    </row>
    <row r="8" spans="1:5">
      <c r="A8" s="12" t="s">
        <v>16</v>
      </c>
      <c r="B8" s="13">
        <f>COUNTIF(Datos!B2:B56, "Bicicletas")</f>
        <v>6</v>
      </c>
      <c r="C8" s="13">
        <f t="shared" si="1"/>
        <v>55</v>
      </c>
      <c r="D8" s="14">
        <f t="shared" si="0"/>
        <v>0.10909090909090909</v>
      </c>
      <c r="E8" s="14">
        <f t="shared" si="2"/>
        <v>1</v>
      </c>
    </row>
    <row r="9" spans="1:5">
      <c r="A9" s="12" t="s">
        <v>44</v>
      </c>
      <c r="B9" s="13">
        <v>55</v>
      </c>
      <c r="C9" s="13"/>
      <c r="D9" s="14">
        <f t="shared" si="0"/>
        <v>1</v>
      </c>
      <c r="E9" s="13"/>
    </row>
  </sheetData>
  <pageMargins left="0.7" right="0.7" top="0.75" bottom="0.75" header="0.3" footer="0.3"/>
  <ignoredErrors>
    <ignoredError sqref="D5:D8 D2:D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A183-BE3A-40FE-B326-A8E318CBF772}">
  <dimension ref="A1:B9"/>
  <sheetViews>
    <sheetView workbookViewId="0">
      <selection activeCell="B2" sqref="B2"/>
    </sheetView>
  </sheetViews>
  <sheetFormatPr baseColWidth="10" defaultRowHeight="14"/>
  <cols>
    <col min="1" max="1" width="20.58203125" customWidth="1"/>
  </cols>
  <sheetData>
    <row r="1" spans="1:2" ht="28">
      <c r="A1" s="11" t="s">
        <v>1</v>
      </c>
      <c r="B1" s="11" t="s">
        <v>40</v>
      </c>
    </row>
    <row r="2" spans="1:2">
      <c r="A2" s="10" t="s">
        <v>4</v>
      </c>
      <c r="B2" s="10">
        <v>10</v>
      </c>
    </row>
    <row r="3" spans="1:2">
      <c r="A3" s="10" t="s">
        <v>6</v>
      </c>
      <c r="B3" s="10">
        <v>9</v>
      </c>
    </row>
    <row r="4" spans="1:2">
      <c r="A4" s="10" t="s">
        <v>8</v>
      </c>
      <c r="B4" s="10">
        <v>7</v>
      </c>
    </row>
    <row r="5" spans="1:2">
      <c r="A5" s="10" t="s">
        <v>10</v>
      </c>
      <c r="B5" s="10">
        <v>11</v>
      </c>
    </row>
    <row r="6" spans="1:2">
      <c r="A6" s="10" t="s">
        <v>12</v>
      </c>
      <c r="B6" s="10">
        <v>6</v>
      </c>
    </row>
    <row r="7" spans="1:2">
      <c r="A7" s="10" t="s">
        <v>14</v>
      </c>
      <c r="B7" s="10">
        <v>6</v>
      </c>
    </row>
    <row r="8" spans="1:2">
      <c r="A8" s="10" t="s">
        <v>16</v>
      </c>
      <c r="B8" s="10">
        <v>6</v>
      </c>
    </row>
    <row r="9" spans="1:2">
      <c r="A9" s="10" t="s">
        <v>44</v>
      </c>
      <c r="B9" s="10">
        <v>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026C-C09B-4226-B02B-7109ED7873E1}">
  <dimension ref="A1:C9"/>
  <sheetViews>
    <sheetView zoomScaleNormal="100" workbookViewId="0">
      <selection activeCell="D1" sqref="D1"/>
    </sheetView>
  </sheetViews>
  <sheetFormatPr baseColWidth="10" defaultRowHeight="14"/>
  <cols>
    <col min="1" max="1" width="20.6640625" customWidth="1"/>
    <col min="3" max="3" width="12.08203125" customWidth="1"/>
  </cols>
  <sheetData>
    <row r="1" spans="1:3" ht="42">
      <c r="A1" s="11" t="s">
        <v>1</v>
      </c>
      <c r="B1" s="11" t="s">
        <v>40</v>
      </c>
      <c r="C1" s="11" t="s">
        <v>45</v>
      </c>
    </row>
    <row r="2" spans="1:3">
      <c r="A2" s="16" t="s">
        <v>10</v>
      </c>
      <c r="B2" s="16">
        <v>11</v>
      </c>
      <c r="C2" s="16">
        <f>+B2/55*100</f>
        <v>20</v>
      </c>
    </row>
    <row r="3" spans="1:3">
      <c r="A3" s="16" t="s">
        <v>4</v>
      </c>
      <c r="B3" s="16">
        <v>10</v>
      </c>
      <c r="C3" s="17">
        <f>C2+B3/55*100</f>
        <v>38.181818181818187</v>
      </c>
    </row>
    <row r="4" spans="1:3">
      <c r="A4" s="16" t="s">
        <v>6</v>
      </c>
      <c r="B4" s="16">
        <v>9</v>
      </c>
      <c r="C4" s="17">
        <f t="shared" ref="C4:C8" si="0">C3+B4/55*100</f>
        <v>54.545454545454547</v>
      </c>
    </row>
    <row r="5" spans="1:3">
      <c r="A5" s="16" t="s">
        <v>8</v>
      </c>
      <c r="B5" s="16">
        <v>7</v>
      </c>
      <c r="C5" s="17">
        <f t="shared" si="0"/>
        <v>67.27272727272728</v>
      </c>
    </row>
    <row r="6" spans="1:3">
      <c r="A6" s="16" t="s">
        <v>12</v>
      </c>
      <c r="B6" s="16">
        <v>6</v>
      </c>
      <c r="C6" s="17">
        <f t="shared" si="0"/>
        <v>78.181818181818187</v>
      </c>
    </row>
    <row r="7" spans="1:3">
      <c r="A7" s="16" t="s">
        <v>14</v>
      </c>
      <c r="B7" s="16">
        <v>6</v>
      </c>
      <c r="C7" s="17">
        <f t="shared" si="0"/>
        <v>89.090909090909093</v>
      </c>
    </row>
    <row r="8" spans="1:3">
      <c r="A8" s="16" t="s">
        <v>16</v>
      </c>
      <c r="B8" s="16">
        <v>6</v>
      </c>
      <c r="C8" s="17">
        <f t="shared" si="0"/>
        <v>100</v>
      </c>
    </row>
    <row r="9" spans="1:3">
      <c r="A9" s="10" t="s">
        <v>44</v>
      </c>
      <c r="B9" s="10">
        <v>55</v>
      </c>
      <c r="C9" s="10"/>
    </row>
  </sheetData>
  <sortState xmlns:xlrd2="http://schemas.microsoft.com/office/spreadsheetml/2017/richdata2" ref="A2:B8">
    <sortCondition descending="1" ref="B2:B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9CEB-C061-4B80-9E91-73B7696DFF8A}">
  <dimension ref="A1:H13"/>
  <sheetViews>
    <sheetView tabSelected="1" workbookViewId="0">
      <selection activeCell="D18" sqref="D18"/>
    </sheetView>
  </sheetViews>
  <sheetFormatPr baseColWidth="10" defaultRowHeight="14"/>
  <sheetData>
    <row r="1" spans="1:8">
      <c r="A1" s="21" t="s">
        <v>46</v>
      </c>
      <c r="B1" s="21"/>
      <c r="C1" s="21" t="s">
        <v>6</v>
      </c>
      <c r="D1" s="21"/>
      <c r="E1" s="19"/>
      <c r="F1" s="19"/>
      <c r="G1" s="19"/>
      <c r="H1" s="19"/>
    </row>
    <row r="2" spans="1:8">
      <c r="A2" s="22" t="s">
        <v>3</v>
      </c>
      <c r="B2" s="22" t="s">
        <v>0</v>
      </c>
      <c r="C2" s="22" t="s">
        <v>3</v>
      </c>
      <c r="D2" s="22" t="s">
        <v>0</v>
      </c>
    </row>
    <row r="3" spans="1:8">
      <c r="A3" s="12" cm="1">
        <f t="array" ref="A3">_xlfn._xlws.FILTER(Datos!D2:D56,(Datos!B2:B56="Electrónica")*(Datos!A2:A56=2020))</f>
        <v>13700</v>
      </c>
      <c r="B3" s="12">
        <v>2020</v>
      </c>
      <c r="C3" s="12" cm="1">
        <f t="array" ref="C3:C5">_xlfn._xlws.FILTER(Datos!D2:D56,(Datos!B2:B56="Ropa")*(Datos!A2:A56=2020))</f>
        <v>12400</v>
      </c>
      <c r="D3" s="12">
        <v>2020</v>
      </c>
    </row>
    <row r="4" spans="1:8">
      <c r="A4" s="12" cm="1">
        <f t="array" ref="A4:A5">_xlfn._xlws.FILTER(Datos!D2:D56,(Datos!B2:B56="Electrónica")*(Datos!A2:A56=2021))</f>
        <v>40500</v>
      </c>
      <c r="B4" s="12">
        <v>2021</v>
      </c>
      <c r="C4" s="12">
        <v>7400</v>
      </c>
      <c r="D4" s="12">
        <v>2020</v>
      </c>
    </row>
    <row r="5" spans="1:8">
      <c r="A5" s="12">
        <v>40500</v>
      </c>
      <c r="B5" s="12">
        <v>2021</v>
      </c>
      <c r="C5" s="12">
        <v>1800</v>
      </c>
      <c r="D5" s="12">
        <v>2020</v>
      </c>
    </row>
    <row r="6" spans="1:8">
      <c r="A6" s="12" cm="1">
        <f t="array" ref="A6">_xlfn._xlws.FILTER(Datos!D2:D56,(Datos!B2:B56="Electrónica")*(Datos!A2:A56=2022))</f>
        <v>37900</v>
      </c>
      <c r="B6" s="12">
        <v>2022</v>
      </c>
      <c r="C6" s="12" cm="1">
        <f t="array" ref="C6:C7">_xlfn._xlws.FILTER(Datos!D2:D56,(Datos!B2:B56="Ropa")*(Datos!A2:A56=2021))</f>
        <v>3300</v>
      </c>
      <c r="D6" s="12">
        <v>2021</v>
      </c>
    </row>
    <row r="7" spans="1:8">
      <c r="A7" s="12" cm="1">
        <f t="array" ref="A7:A9">_xlfn._xlws.FILTER(Datos!D2:D56,(Datos!B2:B56="Electrónica")*(Datos!A2:A56=2023))</f>
        <v>28600</v>
      </c>
      <c r="B7" s="12">
        <v>2023</v>
      </c>
      <c r="C7" s="12">
        <v>3300</v>
      </c>
      <c r="D7" s="12">
        <v>2021</v>
      </c>
    </row>
    <row r="8" spans="1:8">
      <c r="A8" s="12">
        <v>37900</v>
      </c>
      <c r="B8" s="12">
        <v>2023</v>
      </c>
      <c r="C8" s="12" cm="1">
        <f t="array" ref="C8:C9">_xlfn._xlws.FILTER(Datos!D2:D56,(Datos!B2:B56="Ropa")*(Datos!A2:A56=2023))</f>
        <v>9800</v>
      </c>
      <c r="D8" s="12">
        <v>2023</v>
      </c>
    </row>
    <row r="9" spans="1:8">
      <c r="A9" s="12">
        <v>18300</v>
      </c>
      <c r="B9" s="12">
        <v>2023</v>
      </c>
      <c r="C9" s="12">
        <v>9200</v>
      </c>
      <c r="D9" s="12">
        <v>2023</v>
      </c>
    </row>
    <row r="10" spans="1:8">
      <c r="A10" s="12" cm="1">
        <f t="array" ref="A10:A12">_xlfn._xlws.FILTER(Datos!D2:D56,(Datos!B2:B56="Electrónica")*(Datos!A2:A56=2024))</f>
        <v>37900</v>
      </c>
      <c r="B10" s="12">
        <v>2024</v>
      </c>
      <c r="C10" s="12" cm="1">
        <f t="array" ref="C10">_xlfn._xlws.FILTER(Datos!D2:D56,(Datos!B2:B56="Ropa")*(Datos!A2:A56=2024))</f>
        <v>22500</v>
      </c>
      <c r="D10" s="12">
        <v>2024</v>
      </c>
    </row>
    <row r="11" spans="1:8">
      <c r="A11" s="12">
        <v>28600</v>
      </c>
      <c r="B11" s="12">
        <v>2024</v>
      </c>
      <c r="C11" s="12" cm="1">
        <f t="array" ref="C11">_xlfn._xlws.FILTER(Datos!D2:D56,(Datos!B2:B56="Ropa")*(Datos!A2:A56=2025))</f>
        <v>1200</v>
      </c>
      <c r="D11" s="12">
        <v>2025</v>
      </c>
    </row>
    <row r="12" spans="1:8">
      <c r="A12" s="12">
        <v>12400</v>
      </c>
      <c r="B12" s="12">
        <v>2024</v>
      </c>
      <c r="C12" s="12"/>
      <c r="D12" s="12"/>
    </row>
    <row r="13" spans="1:8">
      <c r="A13" s="12" cm="1">
        <f t="array" ref="A13">_xlfn._xlws.FILTER(Datos!D2:D56,(Datos!B2:B56="Electrónica")*(Datos!A2:A56=2025))</f>
        <v>37900</v>
      </c>
      <c r="B13" s="12">
        <v>2025</v>
      </c>
      <c r="C13" s="12"/>
      <c r="D13" s="12"/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EF99-A56A-4628-98BF-C24D18699098}">
  <dimension ref="A1:G8"/>
  <sheetViews>
    <sheetView workbookViewId="0">
      <selection sqref="A1:G1"/>
    </sheetView>
  </sheetViews>
  <sheetFormatPr baseColWidth="10" defaultRowHeight="14"/>
  <cols>
    <col min="1" max="1" width="12.33203125" customWidth="1"/>
  </cols>
  <sheetData>
    <row r="1" spans="1:7">
      <c r="A1" s="24" t="s">
        <v>1</v>
      </c>
      <c r="B1" s="24">
        <v>2020</v>
      </c>
      <c r="C1" s="24">
        <v>2021</v>
      </c>
      <c r="D1" s="24">
        <v>2022</v>
      </c>
      <c r="E1" s="24">
        <v>2023</v>
      </c>
      <c r="F1" s="24">
        <v>2024</v>
      </c>
      <c r="G1" s="24">
        <v>2025</v>
      </c>
    </row>
    <row r="2" spans="1:7">
      <c r="A2" s="12" t="s">
        <v>4</v>
      </c>
      <c r="B2" s="12">
        <f>COUNTIFS(Datos!$A$2:$A$56,"2020",Datos!$B$2:$B$56,"Componentes")</f>
        <v>2</v>
      </c>
      <c r="C2" s="12">
        <f>COUNTIFS(Datos!$A$2:$A$56,"2021",Datos!$B$2:$B$56,"Componentes")</f>
        <v>1</v>
      </c>
      <c r="D2" s="12">
        <f>COUNTIFS(Datos!$A$2:$A$56,"2022",Datos!$B$2:$B$56,"Componentes")</f>
        <v>1</v>
      </c>
      <c r="E2" s="12">
        <f>COUNTIFS(Datos!$A$2:$A$56,"2023",Datos!$B$2:$B$56,"Componentes")</f>
        <v>2</v>
      </c>
      <c r="F2" s="12">
        <f>COUNTIFS(Datos!$A$2:$A$56,"2024",Datos!$B$2:$B$56,"Componentes")</f>
        <v>2</v>
      </c>
      <c r="G2" s="12">
        <f>COUNTIFS(Datos!$A$2:$A$56,"2025",Datos!$B$2:$B$56,"Componentes")</f>
        <v>2</v>
      </c>
    </row>
    <row r="3" spans="1:7">
      <c r="A3" s="12" t="s">
        <v>6</v>
      </c>
      <c r="B3" s="12">
        <f>COUNTIFS(Datos!$A$2:$A$56,"2020",Datos!$B$2:$B$56,"Ropa")</f>
        <v>3</v>
      </c>
      <c r="C3" s="12">
        <f>COUNTIFS(Datos!$A$2:$A$56,"2021",Datos!$B$2:$B$56,"Ropa")</f>
        <v>2</v>
      </c>
      <c r="D3" s="12">
        <f>COUNTIFS(Datos!$A$2:$A$56,"2022",Datos!$B$2:$B$56,"Ropa")</f>
        <v>0</v>
      </c>
      <c r="E3" s="12">
        <f>COUNTIFS(Datos!$A$2:$A$56,"2023",Datos!$B$2:$B$56,"Ropa")</f>
        <v>2</v>
      </c>
      <c r="F3" s="12">
        <f>COUNTIFS(Datos!$A$2:$A$56,"2024",Datos!$B$2:$B$56,"Ropa")</f>
        <v>1</v>
      </c>
      <c r="G3" s="12">
        <f>COUNTIFS(Datos!$A$2:$A$56,"2025",Datos!$B$2:$B$56,"Ropa")</f>
        <v>1</v>
      </c>
    </row>
    <row r="4" spans="1:7">
      <c r="A4" s="12" t="s">
        <v>8</v>
      </c>
      <c r="B4" s="12">
        <f>COUNTIFS(Datos!$A$2:$A$56,"2020",Datos!$B$2:$B$56,"Suplementos")</f>
        <v>2</v>
      </c>
      <c r="C4" s="12">
        <f>COUNTIFS(Datos!$A$2:$A$56,"2021",Datos!$B$2:$B$56,"Suplementos")</f>
        <v>1</v>
      </c>
      <c r="D4" s="12">
        <f>COUNTIFS(Datos!$A$2:$A$56,"2022",Datos!$B$2:$B$56,"Suplementos")</f>
        <v>1</v>
      </c>
      <c r="E4" s="12">
        <f>COUNTIFS(Datos!$A$2:$A$56,"2023",Datos!$B$2:$B$56,"Suplementos")</f>
        <v>0</v>
      </c>
      <c r="F4" s="12">
        <f>COUNTIFS(Datos!$A$2:$A$56,"2024",Datos!$B$2:$B$56,"Suplementos")</f>
        <v>1</v>
      </c>
      <c r="G4" s="12">
        <f>COUNTIFS(Datos!$A$2:$A$56,"2025",Datos!$B$2:$B$56,"Suplementos")</f>
        <v>2</v>
      </c>
    </row>
    <row r="5" spans="1:7">
      <c r="A5" s="12" t="s">
        <v>10</v>
      </c>
      <c r="B5" s="12">
        <f>COUNTIFS(Datos!$A$2:$A$56,"2020",Datos!$B$2:$B$56,"Electrónica")</f>
        <v>1</v>
      </c>
      <c r="C5" s="12">
        <f>COUNTIFS(Datos!$A$2:$A$56,"2021",Datos!$B$2:$B$56,"Electrónica")</f>
        <v>2</v>
      </c>
      <c r="D5" s="12">
        <f>COUNTIFS(Datos!$A$2:$A$56,"2022",Datos!$B$2:$B$56,"Electrónica")</f>
        <v>1</v>
      </c>
      <c r="E5" s="12">
        <f>COUNTIFS(Datos!$A$2:$A$56,"2023",Datos!$B$2:$B$56,"Electrónica")</f>
        <v>3</v>
      </c>
      <c r="F5" s="12">
        <f>COUNTIFS(Datos!$A$2:$A$56,"2024",Datos!$B$2:$B$56,"Electrónica")</f>
        <v>3</v>
      </c>
      <c r="G5" s="12">
        <f>COUNTIFS(Datos!$A$2:$A$56,"2025",Datos!$B$2:$B$56,"Electrónica")</f>
        <v>1</v>
      </c>
    </row>
    <row r="6" spans="1:7">
      <c r="A6" s="12" t="s">
        <v>12</v>
      </c>
      <c r="B6" s="12">
        <f>COUNTIFS(Datos!$A$2:$A$56,"2020",Datos!$B$2:$B$56,"Herramientas")</f>
        <v>0</v>
      </c>
      <c r="C6" s="12">
        <f>COUNTIFS(Datos!$A$2:$A$56,"2021",Datos!$B$2:$B$56,"Herramientas")</f>
        <v>1</v>
      </c>
      <c r="D6" s="12">
        <f>COUNTIFS(Datos!$A$2:$A$56,"2022",Datos!$B$2:$B$56,"Herramientas")</f>
        <v>1</v>
      </c>
      <c r="E6" s="12">
        <f>COUNTIFS(Datos!$A$2:$A$56,"2023",Datos!$B$2:$B$56,"Herramientas")</f>
        <v>2</v>
      </c>
      <c r="F6" s="12">
        <f>COUNTIFS(Datos!$A$2:$A$56,"2024",Datos!$B$2:$B$56,"Herramientas")</f>
        <v>1</v>
      </c>
      <c r="G6" s="12">
        <f>COUNTIFS(Datos!$A$2:$A$56,"2025",Datos!$B$2:$B$56,"Herramientas")</f>
        <v>1</v>
      </c>
    </row>
    <row r="7" spans="1:7">
      <c r="A7" s="12" t="s">
        <v>14</v>
      </c>
      <c r="B7" s="12">
        <f>COUNTIFS(Datos!$A$2:$A$56,"2020",Datos!$B$2:$B$56,"Accesorios")</f>
        <v>0</v>
      </c>
      <c r="C7" s="12">
        <f>COUNTIFS(Datos!$A$2:$A$56,"2021",Datos!$B$2:$B$56,"Accesorios")</f>
        <v>1</v>
      </c>
      <c r="D7" s="12">
        <f>COUNTIFS(Datos!$A$2:$A$56,"2022",Datos!$B$2:$B$56,"Accesorios")</f>
        <v>3</v>
      </c>
      <c r="E7" s="12">
        <f>COUNTIFS(Datos!$A$2:$A$56,"2023",Datos!$B$2:$B$56,"Accesorios")</f>
        <v>1</v>
      </c>
      <c r="F7" s="12">
        <f>COUNTIFS(Datos!$A$2:$A$56,"2024",Datos!$B$2:$B$56,"Accesorios")</f>
        <v>0</v>
      </c>
      <c r="G7" s="12">
        <f>COUNTIFS(Datos!$A$2:$A$56,"2025",Datos!$B$2:$B$56,"Accesorios")</f>
        <v>1</v>
      </c>
    </row>
    <row r="8" spans="1:7">
      <c r="A8" s="12" t="s">
        <v>16</v>
      </c>
      <c r="B8" s="12">
        <f>COUNTIFS(Datos!$A$2:$A$56,"2020",Datos!$B$2:$B$56,"Bicicletas")</f>
        <v>0</v>
      </c>
      <c r="C8" s="12">
        <f>COUNTIFS(Datos!$A$2:$A$56,"2021",Datos!$B$2:$B$56,"Bicicletas")</f>
        <v>2</v>
      </c>
      <c r="D8" s="12">
        <f>COUNTIFS(Datos!$A$2:$A$56,"2022",Datos!$B$2:$B$56,"Bicicletas")</f>
        <v>1</v>
      </c>
      <c r="E8" s="12">
        <f>COUNTIFS(Datos!$A$2:$A$56,"2023",Datos!$B$2:$B$56,"Bicicletas")</f>
        <v>0</v>
      </c>
      <c r="F8" s="12">
        <f>COUNTIFS(Datos!$A$2:$A$56,"2024",Datos!$B$2:$B$56,"Bicicletas")</f>
        <v>1</v>
      </c>
      <c r="G8" s="12">
        <f>COUNTIFS(Datos!$A$2:$A$56,"2025",Datos!$B$2:$B$56,"Bicicletas")</f>
        <v>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BB40-EE55-4BCB-98F8-A7A6F2E24F0B}">
  <dimension ref="A1:J9"/>
  <sheetViews>
    <sheetView workbookViewId="0">
      <selection activeCell="D8" sqref="D8"/>
    </sheetView>
  </sheetViews>
  <sheetFormatPr baseColWidth="10" defaultRowHeight="14"/>
  <cols>
    <col min="2" max="2" width="12.5" bestFit="1" customWidth="1"/>
    <col min="4" max="4" width="12.33203125" customWidth="1"/>
  </cols>
  <sheetData>
    <row r="1" spans="1:10" ht="42">
      <c r="A1" s="26"/>
      <c r="D1" s="11" t="s">
        <v>47</v>
      </c>
      <c r="E1" s="11" t="s">
        <v>48</v>
      </c>
      <c r="F1" s="11" t="s">
        <v>49</v>
      </c>
      <c r="G1" s="11" t="s">
        <v>50</v>
      </c>
      <c r="H1" s="11" t="s">
        <v>42</v>
      </c>
      <c r="I1" s="11" t="s">
        <v>43</v>
      </c>
      <c r="J1" s="25"/>
    </row>
    <row r="2" spans="1:10">
      <c r="A2">
        <v>1000</v>
      </c>
      <c r="B2">
        <v>8500</v>
      </c>
      <c r="D2" s="23" t="str">
        <f>A2&amp;"-"&amp;B2</f>
        <v>1000-8500</v>
      </c>
      <c r="E2" s="12">
        <f>A2+B2/2</f>
        <v>5250</v>
      </c>
      <c r="F2" s="12" cm="1">
        <f t="array" ref="F2:F8">FREQUENCY(Datos!D2:D56,B2:B7)</f>
        <v>21</v>
      </c>
      <c r="G2" s="12">
        <f>F2</f>
        <v>21</v>
      </c>
      <c r="H2" s="27">
        <f>F2/55</f>
        <v>0.38181818181818183</v>
      </c>
      <c r="I2" s="27">
        <f>+H2</f>
        <v>0.38181818181818183</v>
      </c>
    </row>
    <row r="3" spans="1:10">
      <c r="A3">
        <f>+B2</f>
        <v>8500</v>
      </c>
      <c r="B3">
        <f>A3+7500</f>
        <v>16000</v>
      </c>
      <c r="D3" s="12" t="str">
        <f t="shared" ref="D3:D8" si="0">A3&amp;"-"&amp;B3</f>
        <v>8500-16000</v>
      </c>
      <c r="E3" s="12">
        <f t="shared" ref="E3:E8" si="1">A3+B3/2</f>
        <v>16500</v>
      </c>
      <c r="F3" s="12">
        <v>17</v>
      </c>
      <c r="G3" s="12">
        <f>G2+F3</f>
        <v>38</v>
      </c>
      <c r="H3" s="27">
        <f t="shared" ref="H3:H9" si="2">F3/55</f>
        <v>0.30909090909090908</v>
      </c>
      <c r="I3" s="27">
        <f>I2+H3</f>
        <v>0.69090909090909092</v>
      </c>
    </row>
    <row r="4" spans="1:10">
      <c r="A4">
        <f t="shared" ref="A4:A8" si="3">+B3</f>
        <v>16000</v>
      </c>
      <c r="B4">
        <f t="shared" ref="B4:B8" si="4">A4+7500</f>
        <v>23500</v>
      </c>
      <c r="D4" s="12" t="str">
        <f t="shared" si="0"/>
        <v>16000-23500</v>
      </c>
      <c r="E4" s="12">
        <f t="shared" si="1"/>
        <v>27750</v>
      </c>
      <c r="F4" s="12">
        <v>3</v>
      </c>
      <c r="G4" s="12">
        <f t="shared" ref="G4:G7" si="5">G3+F4</f>
        <v>41</v>
      </c>
      <c r="H4" s="27">
        <f t="shared" si="2"/>
        <v>5.4545454545454543E-2</v>
      </c>
      <c r="I4" s="27">
        <f t="shared" ref="I4:I8" si="6">I3+H4</f>
        <v>0.74545454545454548</v>
      </c>
    </row>
    <row r="5" spans="1:10">
      <c r="A5">
        <f t="shared" si="3"/>
        <v>23500</v>
      </c>
      <c r="B5">
        <f t="shared" si="4"/>
        <v>31000</v>
      </c>
      <c r="D5" s="12" t="str">
        <f t="shared" si="0"/>
        <v>23500-31000</v>
      </c>
      <c r="E5" s="12">
        <f t="shared" si="1"/>
        <v>39000</v>
      </c>
      <c r="F5" s="12">
        <v>4</v>
      </c>
      <c r="G5" s="12">
        <f t="shared" si="5"/>
        <v>45</v>
      </c>
      <c r="H5" s="27">
        <f t="shared" si="2"/>
        <v>7.2727272727272724E-2</v>
      </c>
      <c r="I5" s="27">
        <f t="shared" si="6"/>
        <v>0.81818181818181823</v>
      </c>
    </row>
    <row r="6" spans="1:10">
      <c r="A6">
        <f t="shared" si="3"/>
        <v>31000</v>
      </c>
      <c r="B6">
        <f t="shared" si="4"/>
        <v>38500</v>
      </c>
      <c r="D6" s="12" t="str">
        <f t="shared" si="0"/>
        <v>31000-38500</v>
      </c>
      <c r="E6" s="12">
        <f t="shared" si="1"/>
        <v>50250</v>
      </c>
      <c r="F6" s="12">
        <v>7</v>
      </c>
      <c r="G6" s="12">
        <f t="shared" si="5"/>
        <v>52</v>
      </c>
      <c r="H6" s="27">
        <f t="shared" si="2"/>
        <v>0.12727272727272726</v>
      </c>
      <c r="I6" s="27">
        <f t="shared" si="6"/>
        <v>0.94545454545454555</v>
      </c>
    </row>
    <row r="7" spans="1:10">
      <c r="A7">
        <f t="shared" si="3"/>
        <v>38500</v>
      </c>
      <c r="B7">
        <f t="shared" si="4"/>
        <v>46000</v>
      </c>
      <c r="D7" s="12" t="str">
        <f t="shared" si="0"/>
        <v>38500-46000</v>
      </c>
      <c r="E7" s="12">
        <f t="shared" si="1"/>
        <v>61500</v>
      </c>
      <c r="F7" s="12">
        <v>2</v>
      </c>
      <c r="G7" s="12">
        <f t="shared" si="5"/>
        <v>54</v>
      </c>
      <c r="H7" s="27">
        <f t="shared" si="2"/>
        <v>3.6363636363636362E-2</v>
      </c>
      <c r="I7" s="27">
        <f t="shared" si="6"/>
        <v>0.98181818181818192</v>
      </c>
    </row>
    <row r="8" spans="1:10">
      <c r="A8">
        <f t="shared" si="3"/>
        <v>46000</v>
      </c>
      <c r="B8">
        <f t="shared" si="4"/>
        <v>53500</v>
      </c>
      <c r="D8" s="12" t="str">
        <f t="shared" si="0"/>
        <v>46000-53500</v>
      </c>
      <c r="E8" s="12">
        <f t="shared" si="1"/>
        <v>72750</v>
      </c>
      <c r="F8" s="12">
        <v>1</v>
      </c>
      <c r="G8" s="12">
        <f>G7+F8</f>
        <v>55</v>
      </c>
      <c r="H8" s="27">
        <f t="shared" si="2"/>
        <v>1.8181818181818181E-2</v>
      </c>
      <c r="I8" s="27">
        <f t="shared" si="6"/>
        <v>1</v>
      </c>
    </row>
    <row r="9" spans="1:10">
      <c r="D9" s="12" t="s">
        <v>51</v>
      </c>
      <c r="E9" s="12"/>
      <c r="F9" s="12">
        <v>55</v>
      </c>
      <c r="G9" s="12"/>
      <c r="H9" s="12">
        <f t="shared" si="2"/>
        <v>1</v>
      </c>
      <c r="I9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6B2E-5452-4F6A-99B8-99E3867A2E5A}">
  <dimension ref="A1:B8"/>
  <sheetViews>
    <sheetView workbookViewId="0">
      <selection activeCell="J2" sqref="J2"/>
    </sheetView>
  </sheetViews>
  <sheetFormatPr baseColWidth="10" defaultRowHeight="14"/>
  <cols>
    <col min="1" max="1" width="12.25" customWidth="1"/>
  </cols>
  <sheetData>
    <row r="1" spans="1:2">
      <c r="A1" s="15" t="s">
        <v>47</v>
      </c>
      <c r="B1" s="15" t="s">
        <v>49</v>
      </c>
    </row>
    <row r="2" spans="1:2">
      <c r="A2" s="13" t="s">
        <v>52</v>
      </c>
      <c r="B2" s="13">
        <v>21</v>
      </c>
    </row>
    <row r="3" spans="1:2">
      <c r="A3" s="13" t="s">
        <v>53</v>
      </c>
      <c r="B3" s="13">
        <v>17</v>
      </c>
    </row>
    <row r="4" spans="1:2">
      <c r="A4" s="13" t="s">
        <v>54</v>
      </c>
      <c r="B4" s="13">
        <v>3</v>
      </c>
    </row>
    <row r="5" spans="1:2">
      <c r="A5" s="13" t="s">
        <v>55</v>
      </c>
      <c r="B5" s="13">
        <v>4</v>
      </c>
    </row>
    <row r="6" spans="1:2">
      <c r="A6" s="13" t="s">
        <v>56</v>
      </c>
      <c r="B6" s="13">
        <v>7</v>
      </c>
    </row>
    <row r="7" spans="1:2">
      <c r="A7" s="13" t="s">
        <v>57</v>
      </c>
      <c r="B7" s="13">
        <v>2</v>
      </c>
    </row>
    <row r="8" spans="1:2">
      <c r="A8" s="13" t="s">
        <v>58</v>
      </c>
      <c r="B8" s="13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4250-1A5D-45F2-9FA1-799857FBAF3C}">
  <dimension ref="A1:D10"/>
  <sheetViews>
    <sheetView workbookViewId="0">
      <selection activeCell="I12" sqref="I12"/>
    </sheetView>
  </sheetViews>
  <sheetFormatPr baseColWidth="10" defaultRowHeight="14"/>
  <cols>
    <col min="1" max="1" width="13.58203125" customWidth="1"/>
  </cols>
  <sheetData>
    <row r="1" spans="1:4" ht="28">
      <c r="A1" s="11" t="s">
        <v>47</v>
      </c>
      <c r="B1" s="11" t="s">
        <v>49</v>
      </c>
      <c r="C1" s="11" t="s">
        <v>48</v>
      </c>
      <c r="D1" s="28"/>
    </row>
    <row r="2" spans="1:4">
      <c r="A2" s="16">
        <v>0</v>
      </c>
      <c r="B2" s="16">
        <v>0</v>
      </c>
      <c r="C2" s="16">
        <v>0</v>
      </c>
      <c r="D2" s="28"/>
    </row>
    <row r="3" spans="1:4">
      <c r="A3" s="13" t="s">
        <v>52</v>
      </c>
      <c r="B3" s="13">
        <v>21</v>
      </c>
      <c r="C3" s="13">
        <v>5250</v>
      </c>
    </row>
    <row r="4" spans="1:4">
      <c r="A4" s="13" t="s">
        <v>53</v>
      </c>
      <c r="B4" s="13">
        <v>17</v>
      </c>
      <c r="C4" s="13">
        <v>16500</v>
      </c>
    </row>
    <row r="5" spans="1:4">
      <c r="A5" s="13" t="s">
        <v>54</v>
      </c>
      <c r="B5" s="13">
        <v>3</v>
      </c>
      <c r="C5" s="13">
        <v>27750</v>
      </c>
    </row>
    <row r="6" spans="1:4">
      <c r="A6" s="13" t="s">
        <v>55</v>
      </c>
      <c r="B6" s="13">
        <v>4</v>
      </c>
      <c r="C6" s="13">
        <v>39000</v>
      </c>
    </row>
    <row r="7" spans="1:4">
      <c r="A7" s="13" t="s">
        <v>56</v>
      </c>
      <c r="B7" s="13">
        <v>7</v>
      </c>
      <c r="C7" s="13">
        <v>50250</v>
      </c>
    </row>
    <row r="8" spans="1:4">
      <c r="A8" s="13" t="s">
        <v>57</v>
      </c>
      <c r="B8" s="13">
        <v>2</v>
      </c>
      <c r="C8" s="13">
        <v>61500</v>
      </c>
    </row>
    <row r="9" spans="1:4">
      <c r="A9" s="13" t="s">
        <v>58</v>
      </c>
      <c r="B9" s="13">
        <v>1</v>
      </c>
      <c r="C9" s="13">
        <v>72750</v>
      </c>
    </row>
    <row r="10" spans="1:4">
      <c r="A10" s="20">
        <v>0</v>
      </c>
      <c r="B10" s="18">
        <v>0</v>
      </c>
      <c r="C10" s="18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b07693-0017-42fc-9658-5551fcc115d8" xsi:nil="true"/>
    <lcf76f155ced4ddcb4097134ff3c332f xmlns="00fab3e0-0780-41aa-99b0-d27f396113d5">
      <Terms xmlns="http://schemas.microsoft.com/office/infopath/2007/PartnerControls"/>
    </lcf76f155ced4ddcb4097134ff3c332f>
    <ReferenceId xmlns="00fab3e0-0780-41aa-99b0-d27f396113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DB43B39D4DE54B8FA7755A2CFF06C7" ma:contentTypeVersion="11" ma:contentTypeDescription="Crear nuevo documento." ma:contentTypeScope="" ma:versionID="ffd0e067877858dbde3ada7f40dd06b9">
  <xsd:schema xmlns:xsd="http://www.w3.org/2001/XMLSchema" xmlns:xs="http://www.w3.org/2001/XMLSchema" xmlns:p="http://schemas.microsoft.com/office/2006/metadata/properties" xmlns:ns2="00fab3e0-0780-41aa-99b0-d27f396113d5" xmlns:ns3="e6b07693-0017-42fc-9658-5551fcc115d8" targetNamespace="http://schemas.microsoft.com/office/2006/metadata/properties" ma:root="true" ma:fieldsID="cdbd4dd28a03fc57cad7ad67c6493a5e" ns2:_="" ns3:_="">
    <xsd:import namespace="00fab3e0-0780-41aa-99b0-d27f396113d5"/>
    <xsd:import namespace="e6b07693-0017-42fc-9658-5551fcc115d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ab3e0-0780-41aa-99b0-d27f396113d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07693-0017-42fc-9658-5551fcc115d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c01448c-eb26-4eee-aa57-eb6e1b87cce5}" ma:internalName="TaxCatchAll" ma:showField="CatchAllData" ma:web="e6b07693-0017-42fc-9658-5551fcc115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ADD49D4-AFE3-4D47-9E78-81F913664F0B}">
  <ds:schemaRefs>
    <ds:schemaRef ds:uri="http://schemas.microsoft.com/office/2006/metadata/properties"/>
    <ds:schemaRef ds:uri="http://schemas.microsoft.com/office/infopath/2007/PartnerControls"/>
    <ds:schemaRef ds:uri="e6b07693-0017-42fc-9658-5551fcc115d8"/>
    <ds:schemaRef ds:uri="00fab3e0-0780-41aa-99b0-d27f396113d5"/>
  </ds:schemaRefs>
</ds:datastoreItem>
</file>

<file path=customXml/itemProps2.xml><?xml version="1.0" encoding="utf-8"?>
<ds:datastoreItem xmlns:ds="http://schemas.openxmlformats.org/officeDocument/2006/customXml" ds:itemID="{0FD015A4-B459-444E-91F7-708522592E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A2C803-6EC2-4F6C-BE7C-ABE06A594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fab3e0-0780-41aa-99b0-d27f396113d5"/>
    <ds:schemaRef ds:uri="e6b07693-0017-42fc-9658-5551fcc115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E048740-9259-4C17-9495-F4544D893D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</vt:lpstr>
      <vt:lpstr>Tabla de frecuencia simple</vt:lpstr>
      <vt:lpstr>Gráfica de barras</vt:lpstr>
      <vt:lpstr>Gráfica de Paretto</vt:lpstr>
      <vt:lpstr>Gráfica de puntos</vt:lpstr>
      <vt:lpstr>Tabla de contingencia</vt:lpstr>
      <vt:lpstr>Tabla de frecuencia por interva</vt:lpstr>
      <vt:lpstr>Histograma</vt:lpstr>
      <vt:lpstr>Polígono de frecuencias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Jaspe</dc:creator>
  <cp:lastModifiedBy>GEIZI ICAZA</cp:lastModifiedBy>
  <dcterms:created xsi:type="dcterms:W3CDTF">2026-04-23T19:03:28Z</dcterms:created>
  <dcterms:modified xsi:type="dcterms:W3CDTF">2026-04-25T06:44:27Z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0x01010045DB43B39D4DE54B8FA7755A2CFF06C7</vt:lpwstr>
  </property>
</Properties>
</file>