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metadata.xml" ContentType="application/vnd.openxmlformats-officedocument.spreadsheetml.sheetMetadata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491bb41b0f9084/"/>
    </mc:Choice>
  </mc:AlternateContent>
  <xr:revisionPtr revIDLastSave="0" documentId="8_{0D6A18E5-F46B-864D-A724-A197D68B3D1C}" xr6:coauthVersionLast="47" xr6:coauthVersionMax="47" xr10:uidLastSave="{00000000-0000-0000-0000-000000000000}"/>
  <bookViews>
    <workbookView xWindow="-120" yWindow="-120" windowWidth="20730" windowHeight="11040" firstSheet="13" activeTab="1" xr2:uid="{A83DC537-D20C-4648-ABB4-3718A17239BF}"/>
  </bookViews>
  <sheets>
    <sheet name="Datos" sheetId="1" r:id="rId1"/>
    <sheet name="1. Descriptivo" sheetId="2" r:id="rId2"/>
    <sheet name="2. Caja y Bigote" sheetId="5" r:id="rId3"/>
    <sheet name="3. Estándar Calidad" sheetId="6" r:id="rId4"/>
    <sheet name="4. Comparación Tipo" sheetId="7" r:id="rId5"/>
    <sheet name="5. Regresión Simple" sheetId="10" r:id="rId6"/>
    <sheet name="6. Regresion Multiple" sheetId="16" r:id="rId7"/>
    <sheet name="7. Coef. Determinación R2" sheetId="17" r:id="rId8"/>
    <sheet name="8. Prediccion Puntual" sheetId="18" r:id="rId9"/>
    <sheet name="9. Prob. No Estructurados" sheetId="19" r:id="rId10"/>
    <sheet name="10. Prob Condicional" sheetId="20" r:id="rId11"/>
    <sheet name="11. Teorema Bayes" sheetId="11" r:id="rId12"/>
    <sheet name="12. Independencia Eventos" sheetId="12" r:id="rId13"/>
    <sheet name="13. Benchmark Estandar" sheetId="13" r:id="rId14"/>
    <sheet name="14. SLA Cliente 3.5hrs" sheetId="14" r:id="rId15"/>
    <sheet name="15. Tablas Contingencia" sheetId="15" r:id="rId16"/>
  </sheets>
  <externalReferences>
    <externalReference r:id="rId17"/>
    <externalReference r:id="rId18"/>
  </externalReferences>
  <definedNames>
    <definedName name="_xlchart.v1.0" hidden="1">'[1]1. Descriptivo'!$A$26:$A$35</definedName>
    <definedName name="_xlchart.v1.1" hidden="1">'[1]1. Descriptivo'!$E$26:$E$35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20" l="1"/>
  <c r="C5" i="20"/>
  <c r="C4" i="20"/>
  <c r="D6" i="19"/>
  <c r="D5" i="19"/>
  <c r="D4" i="19"/>
  <c r="F5" i="18"/>
  <c r="L21" i="18"/>
  <c r="B402" i="16"/>
  <c r="B401" i="16"/>
  <c r="B400" i="16"/>
  <c r="B399" i="16"/>
  <c r="B398" i="16"/>
  <c r="B397" i="16"/>
  <c r="B396" i="16"/>
  <c r="B395" i="16"/>
  <c r="B394" i="16"/>
  <c r="B393" i="16"/>
  <c r="B392" i="16"/>
  <c r="B391" i="16"/>
  <c r="B390" i="16"/>
  <c r="B389" i="16"/>
  <c r="B388" i="16"/>
  <c r="B387" i="16"/>
  <c r="B386" i="16"/>
  <c r="B385" i="16"/>
  <c r="B384" i="16"/>
  <c r="B383" i="16"/>
  <c r="B382" i="16"/>
  <c r="B381" i="16"/>
  <c r="B380" i="16"/>
  <c r="B379" i="16"/>
  <c r="B378" i="16"/>
  <c r="B377" i="16"/>
  <c r="B376" i="16"/>
  <c r="B375" i="16"/>
  <c r="B374" i="16"/>
  <c r="B373" i="16"/>
  <c r="B372" i="16"/>
  <c r="B371" i="16"/>
  <c r="B370" i="16"/>
  <c r="B369" i="16"/>
  <c r="B368" i="16"/>
  <c r="B367" i="16"/>
  <c r="B366" i="16"/>
  <c r="B365" i="16"/>
  <c r="B364" i="16"/>
  <c r="B363" i="16"/>
  <c r="B362" i="16"/>
  <c r="B361" i="16"/>
  <c r="B360" i="16"/>
  <c r="B359" i="16"/>
  <c r="B358" i="16"/>
  <c r="B357" i="16"/>
  <c r="B356" i="16"/>
  <c r="B355" i="16"/>
  <c r="B354" i="16"/>
  <c r="B353" i="16"/>
  <c r="B352" i="16"/>
  <c r="B351" i="16"/>
  <c r="B350" i="16"/>
  <c r="B349" i="16"/>
  <c r="B348" i="16"/>
  <c r="B347" i="16"/>
  <c r="B346" i="16"/>
  <c r="B345" i="16"/>
  <c r="B344" i="16"/>
  <c r="B343" i="16"/>
  <c r="B342" i="16"/>
  <c r="B341" i="16"/>
  <c r="B340" i="16"/>
  <c r="B339" i="16"/>
  <c r="B338" i="16"/>
  <c r="B337" i="16"/>
  <c r="B336" i="16"/>
  <c r="B335" i="16"/>
  <c r="B334" i="16"/>
  <c r="B333" i="16"/>
  <c r="B332" i="16"/>
  <c r="B331" i="16"/>
  <c r="B330" i="16"/>
  <c r="B329" i="16"/>
  <c r="B328" i="16"/>
  <c r="B327" i="16"/>
  <c r="B326" i="16"/>
  <c r="B325" i="16"/>
  <c r="B324" i="16"/>
  <c r="B323" i="16"/>
  <c r="B322" i="16"/>
  <c r="B321" i="16"/>
  <c r="B320" i="16"/>
  <c r="B319" i="16"/>
  <c r="B318" i="16"/>
  <c r="B317" i="16"/>
  <c r="B316" i="16"/>
  <c r="B315" i="16"/>
  <c r="B314" i="16"/>
  <c r="B313" i="16"/>
  <c r="B312" i="16"/>
  <c r="B311" i="16"/>
  <c r="B310" i="16"/>
  <c r="B309" i="16"/>
  <c r="B308" i="16"/>
  <c r="B307" i="16"/>
  <c r="B306" i="16"/>
  <c r="B305" i="16"/>
  <c r="B304" i="16"/>
  <c r="B303" i="16"/>
  <c r="B302" i="16"/>
  <c r="B301" i="16"/>
  <c r="B300" i="16"/>
  <c r="B299" i="16"/>
  <c r="B298" i="16"/>
  <c r="B297" i="16"/>
  <c r="B296" i="16"/>
  <c r="B295" i="16"/>
  <c r="B294" i="16"/>
  <c r="B293" i="16"/>
  <c r="B292" i="16"/>
  <c r="B291" i="16"/>
  <c r="B290" i="16"/>
  <c r="B289" i="16"/>
  <c r="B288" i="16"/>
  <c r="B287" i="16"/>
  <c r="B286" i="16"/>
  <c r="B285" i="16"/>
  <c r="B284" i="16"/>
  <c r="B283" i="16"/>
  <c r="B282" i="16"/>
  <c r="B281" i="16"/>
  <c r="B280" i="16"/>
  <c r="B279" i="16"/>
  <c r="B278" i="16"/>
  <c r="B277" i="16"/>
  <c r="B276" i="16"/>
  <c r="B275" i="16"/>
  <c r="B274" i="16"/>
  <c r="B273" i="16"/>
  <c r="B272" i="16"/>
  <c r="B271" i="16"/>
  <c r="B270" i="16"/>
  <c r="B269" i="16"/>
  <c r="B268" i="16"/>
  <c r="B267" i="16"/>
  <c r="B266" i="16"/>
  <c r="B265" i="16"/>
  <c r="B264" i="16"/>
  <c r="B263" i="16"/>
  <c r="B262" i="16"/>
  <c r="B261" i="16"/>
  <c r="B260" i="16"/>
  <c r="B259" i="16"/>
  <c r="B258" i="16"/>
  <c r="B257" i="16"/>
  <c r="B256" i="16"/>
  <c r="B255" i="16"/>
  <c r="B254" i="16"/>
  <c r="B253" i="16"/>
  <c r="B252" i="16"/>
  <c r="B251" i="16"/>
  <c r="B250" i="16"/>
  <c r="B249" i="16"/>
  <c r="B248" i="16"/>
  <c r="B247" i="16"/>
  <c r="B246" i="16"/>
  <c r="B245" i="16"/>
  <c r="B244" i="16"/>
  <c r="B243" i="16"/>
  <c r="B242" i="16"/>
  <c r="B241" i="16"/>
  <c r="B240" i="16"/>
  <c r="B239" i="16"/>
  <c r="B238" i="16"/>
  <c r="B237" i="16"/>
  <c r="B236" i="16"/>
  <c r="B235" i="16"/>
  <c r="B234" i="16"/>
  <c r="B233" i="16"/>
  <c r="B232" i="16"/>
  <c r="B231" i="16"/>
  <c r="B230" i="16"/>
  <c r="B229" i="16"/>
  <c r="B228" i="16"/>
  <c r="B227" i="16"/>
  <c r="B226" i="16"/>
  <c r="B225" i="16"/>
  <c r="B224" i="16"/>
  <c r="B223" i="16"/>
  <c r="B222" i="16"/>
  <c r="B221" i="16"/>
  <c r="B220" i="16"/>
  <c r="B219" i="16"/>
  <c r="B218" i="16"/>
  <c r="B217" i="16"/>
  <c r="B216" i="16"/>
  <c r="B215" i="16"/>
  <c r="B214" i="16"/>
  <c r="B213" i="16"/>
  <c r="B212" i="16"/>
  <c r="B211" i="16"/>
  <c r="B210" i="16"/>
  <c r="B209" i="16"/>
  <c r="B208" i="16"/>
  <c r="B207" i="16"/>
  <c r="B206" i="16"/>
  <c r="B205" i="16"/>
  <c r="B204" i="16"/>
  <c r="B203" i="16"/>
  <c r="B202" i="16"/>
  <c r="B201" i="16"/>
  <c r="B200" i="16"/>
  <c r="B199" i="16"/>
  <c r="B198" i="16"/>
  <c r="B197" i="16"/>
  <c r="B196" i="16"/>
  <c r="B195" i="16"/>
  <c r="B194" i="16"/>
  <c r="B193" i="16"/>
  <c r="B192" i="16"/>
  <c r="B191" i="16"/>
  <c r="B190" i="16"/>
  <c r="B189" i="16"/>
  <c r="B188" i="16"/>
  <c r="B187" i="16"/>
  <c r="B186" i="16"/>
  <c r="B185" i="16"/>
  <c r="B184" i="16"/>
  <c r="B183" i="16"/>
  <c r="B182" i="16"/>
  <c r="B181" i="16"/>
  <c r="B180" i="16"/>
  <c r="B179" i="16"/>
  <c r="B178" i="16"/>
  <c r="B177" i="16"/>
  <c r="B176" i="16"/>
  <c r="B175" i="16"/>
  <c r="B174" i="16"/>
  <c r="B173" i="16"/>
  <c r="B172" i="16"/>
  <c r="B171" i="16"/>
  <c r="B170" i="16"/>
  <c r="B169" i="16"/>
  <c r="B168" i="16"/>
  <c r="B167" i="16"/>
  <c r="B166" i="16"/>
  <c r="B165" i="16"/>
  <c r="B164" i="16"/>
  <c r="B163" i="16"/>
  <c r="B162" i="16"/>
  <c r="B161" i="16"/>
  <c r="B160" i="16"/>
  <c r="B159" i="16"/>
  <c r="B158" i="16"/>
  <c r="B157" i="16"/>
  <c r="B156" i="16"/>
  <c r="B155" i="16"/>
  <c r="B154" i="16"/>
  <c r="B153" i="16"/>
  <c r="B152" i="16"/>
  <c r="B151" i="16"/>
  <c r="B150" i="16"/>
  <c r="B149" i="16"/>
  <c r="B148" i="16"/>
  <c r="B147" i="16"/>
  <c r="B146" i="16"/>
  <c r="B145" i="16"/>
  <c r="B144" i="16"/>
  <c r="B143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6" i="16"/>
  <c r="B125" i="16"/>
  <c r="B124" i="16"/>
  <c r="B123" i="16"/>
  <c r="B122" i="16"/>
  <c r="B121" i="16"/>
  <c r="B120" i="16"/>
  <c r="B119" i="16"/>
  <c r="B118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B21" i="15"/>
  <c r="C20" i="15"/>
  <c r="D20" i="15"/>
  <c r="E20" i="15"/>
  <c r="F20" i="15"/>
  <c r="B20" i="15"/>
  <c r="C19" i="15"/>
  <c r="D19" i="15"/>
  <c r="E19" i="15"/>
  <c r="F19" i="15"/>
  <c r="B19" i="15"/>
  <c r="C14" i="15"/>
  <c r="D14" i="15"/>
  <c r="E14" i="15"/>
  <c r="F14" i="15"/>
  <c r="G14" i="15"/>
  <c r="B14" i="15"/>
  <c r="C13" i="15"/>
  <c r="D13" i="15"/>
  <c r="E13" i="15"/>
  <c r="F13" i="15"/>
  <c r="G13" i="15"/>
  <c r="B13" i="15"/>
  <c r="G12" i="15"/>
  <c r="C12" i="15"/>
  <c r="D12" i="15"/>
  <c r="E12" i="15"/>
  <c r="F12" i="15"/>
  <c r="B12" i="15"/>
  <c r="G7" i="15"/>
  <c r="C7" i="15"/>
  <c r="D7" i="15"/>
  <c r="E7" i="15"/>
  <c r="F7" i="15"/>
  <c r="B7" i="15"/>
  <c r="G6" i="15"/>
  <c r="C6" i="15"/>
  <c r="D6" i="15"/>
  <c r="E6" i="15"/>
  <c r="F6" i="15"/>
  <c r="B6" i="15"/>
  <c r="G5" i="15"/>
  <c r="C5" i="15"/>
  <c r="D5" i="15"/>
  <c r="E5" i="15"/>
  <c r="F5" i="15"/>
  <c r="B5" i="15"/>
  <c r="B7" i="14"/>
  <c r="B6" i="14"/>
  <c r="B5" i="14"/>
  <c r="B4" i="14"/>
  <c r="B3" i="14"/>
  <c r="B2" i="14"/>
  <c r="D3" i="13"/>
  <c r="D2" i="13"/>
  <c r="B12" i="12"/>
  <c r="B11" i="12"/>
  <c r="B10" i="12"/>
  <c r="B9" i="12"/>
  <c r="B8" i="12"/>
  <c r="B6" i="12"/>
  <c r="B5" i="12"/>
  <c r="B3" i="12"/>
  <c r="B2" i="12"/>
  <c r="B11" i="11"/>
  <c r="B10" i="11"/>
  <c r="B9" i="11"/>
  <c r="B8" i="11"/>
  <c r="B6" i="11"/>
  <c r="B5" i="11"/>
  <c r="B3" i="11"/>
  <c r="B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2" i="11"/>
  <c r="B12" i="10"/>
  <c r="B11" i="10"/>
  <c r="B10" i="10"/>
  <c r="B9" i="10"/>
  <c r="B8" i="10"/>
  <c r="B7" i="10"/>
  <c r="B6" i="10"/>
  <c r="B5" i="10"/>
  <c r="B12" i="7"/>
  <c r="C10" i="7"/>
  <c r="B10" i="7"/>
  <c r="C9" i="7"/>
  <c r="B9" i="7"/>
  <c r="C8" i="7" a="1"/>
  <c r="B8" i="7" a="1"/>
  <c r="C7" i="7" a="1"/>
  <c r="B7" i="7" a="1"/>
  <c r="C6" i="7"/>
  <c r="C5" i="7"/>
  <c r="B6" i="7"/>
  <c r="B5" i="7"/>
  <c r="B16" i="6"/>
  <c r="B14" i="6"/>
  <c r="B13" i="6"/>
  <c r="B12" i="6"/>
  <c r="C10" i="6"/>
  <c r="B10" i="6"/>
  <c r="D8" i="6"/>
  <c r="D9" i="6"/>
  <c r="D7" i="6"/>
  <c r="D6" i="6"/>
  <c r="D5" i="6"/>
  <c r="C6" i="6"/>
  <c r="C7" i="6"/>
  <c r="C8" i="6"/>
  <c r="C9" i="6"/>
  <c r="C5" i="6"/>
  <c r="B9" i="6"/>
  <c r="B8" i="6"/>
  <c r="B7" i="6"/>
  <c r="B6" i="6"/>
  <c r="B5" i="6"/>
  <c r="F22" i="5"/>
  <c r="E22" i="5"/>
  <c r="D22" i="5"/>
  <c r="C22" i="5"/>
  <c r="B22" i="5"/>
  <c r="B17" i="5"/>
  <c r="B16" i="5"/>
  <c r="B15" i="5"/>
  <c r="B14" i="5"/>
  <c r="B12" i="5"/>
  <c r="B11" i="5"/>
  <c r="B10" i="5"/>
  <c r="B9" i="5"/>
  <c r="B8" i="5"/>
  <c r="B7" i="5"/>
  <c r="B6" i="5"/>
  <c r="B5" i="5"/>
  <c r="F26" i="2"/>
  <c r="F27" i="2"/>
  <c r="F28" i="2"/>
  <c r="F29" i="2"/>
  <c r="F30" i="2"/>
  <c r="F31" i="2"/>
  <c r="F32" i="2"/>
  <c r="F25" i="2"/>
  <c r="F24" i="2"/>
  <c r="F23" i="2"/>
  <c r="E33" i="2"/>
  <c r="E24" i="2"/>
  <c r="E25" i="2"/>
  <c r="E26" i="2"/>
  <c r="E27" i="2"/>
  <c r="E28" i="2"/>
  <c r="E29" i="2"/>
  <c r="E30" i="2"/>
  <c r="E31" i="2"/>
  <c r="E32" i="2"/>
  <c r="E23" i="2"/>
  <c r="D24" i="2"/>
  <c r="D25" i="2"/>
  <c r="D26" i="2"/>
  <c r="D27" i="2"/>
  <c r="D28" i="2"/>
  <c r="D29" i="2"/>
  <c r="D30" i="2"/>
  <c r="D31" i="2"/>
  <c r="D32" i="2"/>
  <c r="D23" i="2"/>
  <c r="C19" i="2"/>
  <c r="D19" i="2"/>
  <c r="E19" i="2"/>
  <c r="F19" i="2"/>
  <c r="B19" i="2"/>
  <c r="C18" i="2"/>
  <c r="D18" i="2"/>
  <c r="E18" i="2"/>
  <c r="F18" i="2"/>
  <c r="B18" i="2"/>
  <c r="C17" i="2"/>
  <c r="D17" i="2"/>
  <c r="E17" i="2"/>
  <c r="F17" i="2"/>
  <c r="B17" i="2"/>
  <c r="C16" i="2"/>
  <c r="D16" i="2"/>
  <c r="E16" i="2"/>
  <c r="F16" i="2"/>
  <c r="B16" i="2"/>
  <c r="C15" i="2"/>
  <c r="D15" i="2"/>
  <c r="E15" i="2"/>
  <c r="F15" i="2"/>
  <c r="B15" i="2"/>
  <c r="C14" i="2"/>
  <c r="D14" i="2"/>
  <c r="E14" i="2"/>
  <c r="F14" i="2"/>
  <c r="B14" i="2"/>
  <c r="C13" i="2"/>
  <c r="D13" i="2"/>
  <c r="E13" i="2"/>
  <c r="F13" i="2"/>
  <c r="B13" i="2"/>
  <c r="F12" i="2"/>
  <c r="C12" i="2"/>
  <c r="D12" i="2"/>
  <c r="E12" i="2"/>
  <c r="B12" i="2"/>
  <c r="C11" i="2"/>
  <c r="D11" i="2"/>
  <c r="E11" i="2"/>
  <c r="F11" i="2"/>
  <c r="B11" i="2"/>
  <c r="C10" i="2"/>
  <c r="D10" i="2"/>
  <c r="E10" i="2"/>
  <c r="F10" i="2"/>
  <c r="B10" i="2"/>
  <c r="C9" i="2"/>
  <c r="D9" i="2"/>
  <c r="E9" i="2"/>
  <c r="F9" i="2"/>
  <c r="B9" i="2"/>
  <c r="C8" i="2"/>
  <c r="D8" i="2"/>
  <c r="E8" i="2"/>
  <c r="F8" i="2"/>
  <c r="B8" i="2"/>
  <c r="C7" i="2"/>
  <c r="D7" i="2"/>
  <c r="E7" i="2"/>
  <c r="F7" i="2"/>
  <c r="B7" i="2"/>
  <c r="C6" i="2"/>
  <c r="D6" i="2"/>
  <c r="E6" i="2"/>
  <c r="F6" i="2"/>
  <c r="B6" i="2"/>
  <c r="C5" i="2"/>
  <c r="D5" i="2"/>
  <c r="E5" i="2"/>
  <c r="F5" i="2"/>
  <c r="B5" i="2"/>
  <c r="C8" i="7"/>
  <c r="B8" i="7"/>
  <c r="C7" i="7"/>
  <c r="B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<sst xmlns="http://schemas.openxmlformats.org/spreadsheetml/2006/main" count="680" uniqueCount="198">
  <si>
    <t>Fecha</t>
  </si>
  <si>
    <t>Tipo de Datos</t>
  </si>
  <si>
    <t>Tamaño de DB (GB)</t>
  </si>
  <si>
    <t>Tiempo de Procesamiento (Horas)</t>
  </si>
  <si>
    <t>Calidad de Datos</t>
  </si>
  <si>
    <t>Experiencia del Equipo (Años)</t>
  </si>
  <si>
    <t>Nivel de Integración</t>
  </si>
  <si>
    <t>No Estructurados</t>
  </si>
  <si>
    <t>Estructurados</t>
  </si>
  <si>
    <t>Meta 1 — Análisis Descriptivo de Variables Clave</t>
  </si>
  <si>
    <t>Estadístico</t>
  </si>
  <si>
    <t>Tamaño DB (GB)</t>
  </si>
  <si>
    <t>Tiempo Proc. (Horas)</t>
  </si>
  <si>
    <t>Experiencia (Años)</t>
  </si>
  <si>
    <t>Nivel Integración</t>
  </si>
  <si>
    <t>N (conteo)</t>
  </si>
  <si>
    <t>Media</t>
  </si>
  <si>
    <t>Mediana</t>
  </si>
  <si>
    <t>Moda</t>
  </si>
  <si>
    <t>Mínimo</t>
  </si>
  <si>
    <t>Máximo</t>
  </si>
  <si>
    <t>Rango</t>
  </si>
  <si>
    <t>Varianza (muestral)</t>
  </si>
  <si>
    <t>Desv. estándar (muestral)</t>
  </si>
  <si>
    <t>Coef. variación</t>
  </si>
  <si>
    <t>Cuartil 1 (Q1)</t>
  </si>
  <si>
    <t>Cuartil 3 (Q3)</t>
  </si>
  <si>
    <t>Rango intercuartílico (IQR)</t>
  </si>
  <si>
    <t>Sesgo (asimetría)</t>
  </si>
  <si>
    <t>Curtosis (exceso)</t>
  </si>
  <si>
    <t>Tabla de Frecuencias — Tiempo de Procesamiento</t>
  </si>
  <si>
    <t>Clase (Horas)</t>
  </si>
  <si>
    <t>Lím. Inf.</t>
  </si>
  <si>
    <t>Lím. Sup.</t>
  </si>
  <si>
    <t>Marca de clase</t>
  </si>
  <si>
    <t>Frecuencia</t>
  </si>
  <si>
    <t>Frec. Acumulada</t>
  </si>
  <si>
    <t>[3, 5)</t>
  </si>
  <si>
    <t>[5, 7)</t>
  </si>
  <si>
    <t>[7, 9)</t>
  </si>
  <si>
    <t>[9, 11)</t>
  </si>
  <si>
    <t>[11, 13)</t>
  </si>
  <si>
    <t>[13, 15)</t>
  </si>
  <si>
    <t>[15, 17)</t>
  </si>
  <si>
    <t>[17, 19)</t>
  </si>
  <si>
    <t>[19, 21)</t>
  </si>
  <si>
    <t>[21, 23)</t>
  </si>
  <si>
    <t>Total</t>
  </si>
  <si>
    <t xml:space="preserve"> </t>
  </si>
  <si>
    <t>Meta 2 — Diagrama de Caja y Bigote (Tiempo de Procesamiento)</t>
  </si>
  <si>
    <t>Valor</t>
  </si>
  <si>
    <t>Mediana (Q2)</t>
  </si>
  <si>
    <t>IQR = Q3 - Q1</t>
  </si>
  <si>
    <t>Límite inferior = Q1 - 1.5·IQR</t>
  </si>
  <si>
    <t>Límite superior = Q3 + 1.5·IQR</t>
  </si>
  <si>
    <t>Atípicos por debajo (&lt; Lím. inf.)</t>
  </si>
  <si>
    <t>Atípicos por encima (&gt; Lím. sup.)</t>
  </si>
  <si>
    <t>Total de valores atípicos</t>
  </si>
  <si>
    <t>% de atípicos sobre el total</t>
  </si>
  <si>
    <t>Datos para diagrama de caja y bigote</t>
  </si>
  <si>
    <t>Categoría</t>
  </si>
  <si>
    <t>Base (Mín)</t>
  </si>
  <si>
    <t>Q1-Mín</t>
  </si>
  <si>
    <t>Mediana-Q1</t>
  </si>
  <si>
    <t>Q3-Mediana</t>
  </si>
  <si>
    <t>Máx-Q3</t>
  </si>
  <si>
    <t>Tiempo (h)</t>
  </si>
  <si>
    <t>Meta 3 — Cumplimiento del Estándar de Calidad</t>
  </si>
  <si>
    <t>Nivel de Calidad</t>
  </si>
  <si>
    <t>Frec. Relativa</t>
  </si>
  <si>
    <t>Registros con Calidad ≥ 4</t>
  </si>
  <si>
    <t>Total de registros</t>
  </si>
  <si>
    <t>Proporción con Calidad ≥ 4</t>
  </si>
  <si>
    <t>Estándar exigido</t>
  </si>
  <si>
    <t>¿Cumple el estándar?</t>
  </si>
  <si>
    <t>Meta 4 — Tiempo de Procesamiento: Estructurados vs. No Estructurados</t>
  </si>
  <si>
    <t>Desv. estándar</t>
  </si>
  <si>
    <t>Diferencia de medias (Estruct. - No Estruct.)</t>
  </si>
  <si>
    <t>Metas 5  — Regresión Lineal Simple</t>
  </si>
  <si>
    <t>Parámetro</t>
  </si>
  <si>
    <t>Pendiente (b1)</t>
  </si>
  <si>
    <t>Intercepto (b0)</t>
  </si>
  <si>
    <t>Coef. correlación (r)</t>
  </si>
  <si>
    <t>Coef. determinación (R²)</t>
  </si>
  <si>
    <t>Error típico estimación</t>
  </si>
  <si>
    <t>Covarianza muestral</t>
  </si>
  <si>
    <t>Ecuación estimada</t>
  </si>
  <si>
    <t>Fuerza de correlación</t>
  </si>
  <si>
    <t>Pregunta 11. Teorema de bayes</t>
  </si>
  <si>
    <t>n(calidad&gt;=4)</t>
  </si>
  <si>
    <t>P(calidad&gt;=4)</t>
  </si>
  <si>
    <t>n(tiempo&gt;8h)</t>
  </si>
  <si>
    <t>P(tiempo&gt;8h)</t>
  </si>
  <si>
    <t>n(Tiempo &lt;8 | calidad&gt;=4)</t>
  </si>
  <si>
    <t>P(Tiempo &lt;8 | calidad&gt;=4)</t>
  </si>
  <si>
    <t>n(calidad&gt;=4 | Tiempo &lt;8) Bayes = M9*M3/M6</t>
  </si>
  <si>
    <t>Verificación directa: P = n(intersección)/n(Tiempo&lt;8h)</t>
  </si>
  <si>
    <t>Tiempo &lt; 8h</t>
  </si>
  <si>
    <t>Calidad &gt;=4</t>
  </si>
  <si>
    <t>n(total)</t>
  </si>
  <si>
    <t>Pregunta 12. independencia de no Estructurados y Tiempo&gt;8h</t>
  </si>
  <si>
    <t>n(No estructurados)</t>
  </si>
  <si>
    <t>P(No estructurados)</t>
  </si>
  <si>
    <t>n(Tiempo&gt;8h)</t>
  </si>
  <si>
    <t>P(Tiempo&gt;8h)</t>
  </si>
  <si>
    <t>n(No estructurados y tiempo&gt;8h)</t>
  </si>
  <si>
    <t>P(No estructurados ∩ tiempo&gt;8h) observada</t>
  </si>
  <si>
    <t>P(No Estr)×P(Tiempo&gt;8h) [si fueran independientes]</t>
  </si>
  <si>
    <t>Diferencia (observada - esperada bajo independencia)</t>
  </si>
  <si>
    <t>P(Tiempo&gt;8h | no estructurados)</t>
  </si>
  <si>
    <t>Pregunta 13 - Comparación con estándares de la industria</t>
  </si>
  <si>
    <t>Tiempo prom. de procesamiento (Datatech)</t>
  </si>
  <si>
    <t>% de cumplimiento del SLA interno</t>
  </si>
  <si>
    <t>Tiempo promedio esperado según estándar</t>
  </si>
  <si>
    <t>% de cumplimiento típico de SLA en la industria</t>
  </si>
  <si>
    <t>Fuente</t>
  </si>
  <si>
    <t>Datatech es competitiva?</t>
  </si>
  <si>
    <t>13 h</t>
  </si>
  <si>
    <t>95%-99%</t>
  </si>
  <si>
    <t>IBM, "Types of SLA Metrics", 2025</t>
  </si>
  <si>
    <t>No, cumplimiento muy por debajo del estándar</t>
  </si>
  <si>
    <t>Pregunta 14 - SLA cliente: Tiempo ≤ 3.5 horas</t>
  </si>
  <si>
    <t>n(Tiempo&gt;3.5h)  [incumple SLA cliente]</t>
  </si>
  <si>
    <t>Proporción que incumple (&gt;3.5h)</t>
  </si>
  <si>
    <t>n(Tiempo&lt;=3.5h)  [cumple SLA cliente]</t>
  </si>
  <si>
    <t>Proporción que cumple (&lt;=3.5h)</t>
  </si>
  <si>
    <t>Tiempo promedio de procesamiento (h)</t>
  </si>
  <si>
    <t>Tiempo mínimo observado (h)</t>
  </si>
  <si>
    <t>Pregunta 15 - Tabla de contingencia: Tipo de Datos x Nivel de Integración</t>
  </si>
  <si>
    <t>1- Tabla de frecuencias conjuntas</t>
  </si>
  <si>
    <t>2- Probabilidades conjuntas y marginales</t>
  </si>
  <si>
    <t>Marginal tipo</t>
  </si>
  <si>
    <t>Marginal Integración</t>
  </si>
  <si>
    <t xml:space="preserve">3- Frecuencia de incumplimiento del SLA </t>
  </si>
  <si>
    <t>Combinación con mayor incumplimiento:</t>
  </si>
  <si>
    <t>X1</t>
  </si>
  <si>
    <t>X2</t>
  </si>
  <si>
    <t>X3</t>
  </si>
  <si>
    <t>X4</t>
  </si>
  <si>
    <t>X5</t>
  </si>
  <si>
    <t>y</t>
  </si>
  <si>
    <t>Tipo de Datos: ESTRUCTURADOS=1, NO ESTRUCTURADOS=0</t>
  </si>
  <si>
    <t>6. Ecuación de regresión</t>
  </si>
  <si>
    <t>Y= 7.5865 +0.2730X1+0.1996X2-0.4443X3+0.2213X4+0.4306X5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</si>
  <si>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</si>
  <si>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</si>
  <si>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</si>
  <si>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</si>
  <si>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</si>
  <si>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7. El modelo explica el 34.45% de la variabilidad del tiempo de procesamiento, aún existe un 65.55% que no es explicado por las variables analizadas. Esto sugiere que pueden existir otros factores que también influyen en el tiempo de procesamiento.</t>
  </si>
  <si>
    <t>Error típico</t>
  </si>
  <si>
    <t>Observaciones</t>
  </si>
  <si>
    <t>ANÁLISIS DE VARIANZA</t>
  </si>
  <si>
    <t>Grados de libertad</t>
  </si>
  <si>
    <t>Suma de cuadrados</t>
  </si>
  <si>
    <t>Promedio de los cuadrados</t>
  </si>
  <si>
    <t>F</t>
  </si>
  <si>
    <t>Valor crítico de F</t>
  </si>
  <si>
    <t>Regresión</t>
  </si>
  <si>
    <t>Residuos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</si>
  <si>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</si>
  <si>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</si>
  <si>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</si>
  <si>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</si>
  <si>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</si>
  <si>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</si>
  <si>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</si>
  <si>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Intercepción</t>
  </si>
  <si>
    <t>6.Justificación de Variables</t>
  </si>
  <si>
    <t>A mayor tamaño, normalmente aumenta el tiempo de procesamiento.</t>
  </si>
  <si>
    <t>Los datos no estructurados suelen requerir mayor procesamiento por lo que afecta la variable dependiente(En este caso el tiempo de procesamiento).</t>
  </si>
  <si>
    <t>Una mejor calidad reduce errores y tareas de limpieza, favoreciendo un procesamiento más eficiente.</t>
  </si>
  <si>
    <t>Equipos con mayor experiencia pueden optimizar procesos, resolver incidencias con mayor rapidez y disminuir el tiempo de procesamiento.</t>
  </si>
  <si>
    <t>Un mayor nivel de integración entre los sistemas facilita el flujo de información y puede reducir retrasos durante el procesamiento.</t>
  </si>
  <si>
    <t>Y</t>
  </si>
  <si>
    <t>Es la variable que se desea investigar y predecir sus cambios.</t>
  </si>
  <si>
    <t>PUNTO 6 — REGRESIÓN LINEAL MÚLTIPLE: PREDICCIÓN DEL TIEMPO DE PROCESAMIENTO</t>
  </si>
  <si>
    <t>PUNTO 7 — INTERPRETACIÓN DEL COEFICIENTE DE DETERMINACIÓN R²</t>
  </si>
  <si>
    <t>Resultado</t>
  </si>
  <si>
    <t>Interpretación</t>
  </si>
  <si>
    <t>Observación: El resultado R²  presentado aquí fue calculado en la hoja anterior solo se coloco aquí para llevar un mejor orden.</t>
  </si>
  <si>
    <t>PUNTO 8 — PREDICCIÓN PUNTUAL DEL TIEMPO DE PROCESAMIENTO PARA 20 GB</t>
  </si>
  <si>
    <t>X</t>
  </si>
  <si>
    <t>Correlación</t>
  </si>
  <si>
    <t>SCE</t>
  </si>
  <si>
    <t>SCT</t>
  </si>
  <si>
    <t>Intercepto</t>
  </si>
  <si>
    <t>Pendiente</t>
  </si>
  <si>
    <t>t Crítica</t>
  </si>
  <si>
    <t>8. X=20 GB</t>
  </si>
  <si>
    <t xml:space="preserve">Variable a predecir </t>
  </si>
  <si>
    <t>PUNTO 9 — PROBABILIDAD DE QUE EL TIEMPO DE PROCESAMIENTO SUPERE LAS 8 HORAS EN DATOS NO ESTRUCTURADOS</t>
  </si>
  <si>
    <t>9. Tipo de Datos No Estructurados</t>
  </si>
  <si>
    <t>Tiempo &gt;8</t>
  </si>
  <si>
    <t>PUNTO 10 — PROBABILIDAD CONDICIONAL</t>
  </si>
  <si>
    <t>10 .Nivel de Integración</t>
  </si>
  <si>
    <t>Tiempo de procesamiento  &lt;8</t>
  </si>
  <si>
    <t>Nivel de Integración 4 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</si>
</sst>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6" formatCode="0.000"/>
    <numFmt numFmtId="167" formatCode="0.0%"/>
    <numFmt numFmtId="168" formatCode="0.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4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rgb="FF595959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0" fontId="4" fillId="0" borderId="1" xfId="0" applyFont="1" applyBorder="1"/>
    <xf numFmtId="2" fontId="4" fillId="0" borderId="1" xfId="0" applyNumberFormat="1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2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10" fontId="0" fillId="0" borderId="0" xfId="1" applyNumberFormat="1" applyFont="1"/>
    <xf numFmtId="0" fontId="2" fillId="0" borderId="0" xfId="0" applyFont="1"/>
    <xf numFmtId="0" fontId="8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68" fontId="0" fillId="0" borderId="0" xfId="0" applyNumberFormat="1"/>
    <xf numFmtId="0" fontId="7" fillId="4" borderId="1" xfId="0" applyFont="1" applyFill="1" applyBorder="1" applyAlignment="1">
      <alignment horizontal="right" vertical="center" wrapText="1"/>
    </xf>
    <xf numFmtId="0" fontId="9" fillId="0" borderId="0" xfId="0" applyFont="1"/>
    <xf numFmtId="167" fontId="2" fillId="5" borderId="0" xfId="1" applyNumberFormat="1" applyFont="1" applyFill="1"/>
    <xf numFmtId="0" fontId="2" fillId="5" borderId="0" xfId="0" applyFont="1" applyFill="1"/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7" fontId="0" fillId="0" borderId="0" xfId="0" applyNumberFormat="1"/>
    <xf numFmtId="167" fontId="2" fillId="5" borderId="0" xfId="0" applyNumberFormat="1" applyFont="1" applyFill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5" borderId="0" xfId="0" applyFont="1" applyFill="1" applyAlignment="1">
      <alignment horizontal="right"/>
    </xf>
    <xf numFmtId="2" fontId="2" fillId="5" borderId="0" xfId="0" applyNumberFormat="1" applyFont="1" applyFill="1"/>
    <xf numFmtId="0" fontId="10" fillId="7" borderId="2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right"/>
    </xf>
    <xf numFmtId="0" fontId="2" fillId="9" borderId="0" xfId="0" applyFont="1" applyFill="1" applyAlignment="1">
      <alignment horizontal="right"/>
    </xf>
    <xf numFmtId="165" fontId="0" fillId="10" borderId="0" xfId="0" applyNumberFormat="1" applyFill="1" applyAlignment="1">
      <alignment horizontal="right"/>
    </xf>
    <xf numFmtId="165" fontId="2" fillId="10" borderId="0" xfId="0" applyNumberFormat="1" applyFont="1" applyFill="1" applyAlignment="1">
      <alignment horizontal="right"/>
    </xf>
    <xf numFmtId="0" fontId="0" fillId="9" borderId="0" xfId="0" applyFill="1"/>
    <xf numFmtId="0" fontId="0" fillId="6" borderId="0" xfId="0" applyFill="1"/>
    <xf numFmtId="0" fontId="11" fillId="11" borderId="3" xfId="0" applyFont="1" applyFill="1" applyBorder="1"/>
    <xf numFmtId="0" fontId="11" fillId="11" borderId="3" xfId="0" applyFont="1" applyFill="1" applyBorder="1" applyAlignment="1">
      <alignment horizontal="right"/>
    </xf>
    <xf numFmtId="165" fontId="2" fillId="0" borderId="0" xfId="0" applyNumberFormat="1" applyFont="1"/>
    <xf numFmtId="2" fontId="2" fillId="0" borderId="0" xfId="0" applyNumberFormat="1" applyFont="1"/>
    <xf numFmtId="0" fontId="9" fillId="12" borderId="3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3" fillId="0" borderId="8" xfId="0" applyFont="1" applyBorder="1"/>
    <xf numFmtId="0" fontId="13" fillId="0" borderId="9" xfId="0" applyFont="1" applyBorder="1"/>
    <xf numFmtId="0" fontId="13" fillId="0" borderId="10" xfId="0" applyFont="1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4" fillId="0" borderId="12" xfId="0" applyFont="1" applyBorder="1" applyAlignment="1">
      <alignment horizontal="centerContinuous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0" borderId="13" xfId="0" applyBorder="1"/>
    <xf numFmtId="0" fontId="14" fillId="0" borderId="12" xfId="0" applyFont="1" applyBorder="1" applyAlignment="1">
      <alignment horizontal="center"/>
    </xf>
    <xf numFmtId="0" fontId="14" fillId="8" borderId="12" xfId="0" applyFont="1" applyFill="1" applyBorder="1" applyAlignment="1">
      <alignment horizontal="center"/>
    </xf>
    <xf numFmtId="0" fontId="0" fillId="8" borderId="0" xfId="0" applyFill="1"/>
    <xf numFmtId="0" fontId="0" fillId="8" borderId="13" xfId="0" applyFill="1" applyBorder="1"/>
    <xf numFmtId="0" fontId="0" fillId="0" borderId="0" xfId="0" applyAlignment="1">
      <alignment wrapText="1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9" fillId="14" borderId="0" xfId="0" applyFont="1" applyFill="1"/>
    <xf numFmtId="0" fontId="0" fillId="14" borderId="0" xfId="0" applyFill="1"/>
    <xf numFmtId="0" fontId="2" fillId="6" borderId="0" xfId="0" applyFont="1" applyFill="1"/>
    <xf numFmtId="0" fontId="0" fillId="15" borderId="0" xfId="0" applyFill="1"/>
    <xf numFmtId="0" fontId="2" fillId="15" borderId="0" xfId="0" applyFont="1" applyFill="1"/>
    <xf numFmtId="0" fontId="2" fillId="15" borderId="0" xfId="0" applyFont="1" applyFill="1" applyAlignment="1">
      <alignment horizontal="center"/>
    </xf>
    <xf numFmtId="0" fontId="2" fillId="12" borderId="3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 wrapText="1"/>
    </xf>
    <xf numFmtId="0" fontId="0" fillId="0" borderId="3" xfId="0" applyBorder="1"/>
    <xf numFmtId="0" fontId="0" fillId="8" borderId="0" xfId="0" applyFill="1" applyAlignment="1">
      <alignment horizontal="center" wrapText="1"/>
    </xf>
    <xf numFmtId="0" fontId="0" fillId="8" borderId="0" xfId="0" applyFill="1" applyAlignment="1">
      <alignment wrapText="1"/>
    </xf>
    <xf numFmtId="0" fontId="0" fillId="15" borderId="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12" borderId="0" xfId="0" applyFont="1" applyFill="1" applyAlignment="1">
      <alignment horizontal="center"/>
    </xf>
    <xf numFmtId="0" fontId="2" fillId="17" borderId="0" xfId="0" applyFont="1" applyFill="1"/>
    <xf numFmtId="0" fontId="0" fillId="17" borderId="0" xfId="0" applyFill="1"/>
    <xf numFmtId="0" fontId="0" fillId="16" borderId="3" xfId="0" applyFill="1" applyBorder="1"/>
    <xf numFmtId="0" fontId="2" fillId="0" borderId="3" xfId="0" applyFont="1" applyBorder="1"/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2" fontId="0" fillId="0" borderId="3" xfId="0" applyNumberFormat="1" applyBorder="1"/>
    <xf numFmtId="168" fontId="0" fillId="0" borderId="3" xfId="0" applyNumberFormat="1" applyBorder="1"/>
    <xf numFmtId="0" fontId="7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13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 wrapText="1"/>
    </xf>
    <xf numFmtId="0" fontId="2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15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17" borderId="0" xfId="0" applyFont="1" applyFill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0" fontId="11" fillId="6" borderId="2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2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s-PA" sz="1400" b="1" i="0" u="none" strike="noStrike" kern="1200" spc="-1" baseline="0">
                <a:solidFill>
                  <a:srgbClr val="000000"/>
                </a:solidFill>
                <a:latin typeface="Calibri"/>
              </a:rPr>
              <a:t>Ojiva — Frecuencia Acumulada (Tiempo)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s-PA"/>
          </a:p>
        </c:rich>
      </c:tx>
      <c:layout>
        <c:manualLayout>
          <c:xMode val="edge"/>
          <c:yMode val="edge"/>
          <c:x val="0.15462489063867016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'[1]1. Descriptivo'!$D$26:$D$35</c:f>
              <c:strCache>
                <c:ptCount val="10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</c:strCache>
            </c:strRef>
          </c:cat>
          <c:val>
            <c:numRef>
              <c:f>'[1]1. Descriptivo'!$F$26:$F$35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29</c:v>
                </c:pt>
                <c:pt idx="3">
                  <c:v>75</c:v>
                </c:pt>
                <c:pt idx="4">
                  <c:v>167</c:v>
                </c:pt>
                <c:pt idx="5">
                  <c:v>265</c:v>
                </c:pt>
                <c:pt idx="6">
                  <c:v>341</c:v>
                </c:pt>
                <c:pt idx="7">
                  <c:v>389</c:v>
                </c:pt>
                <c:pt idx="8">
                  <c:v>397</c:v>
                </c:pt>
                <c:pt idx="9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4-4A80-A9B9-5033C0ACC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476592"/>
        <c:axId val="763872144"/>
      </c:lineChart>
      <c:catAx>
        <c:axId val="858476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 sz="1000" b="1" i="0" u="none" strike="noStrike" kern="1200" spc="-1" baseline="0">
                    <a:solidFill>
                      <a:srgbClr val="000000"/>
                    </a:solidFill>
                    <a:latin typeface="+mn-lt"/>
                  </a:rPr>
                  <a:t>Marca de clase (h</a:t>
                </a:r>
                <a:endParaRPr lang="es-PA"/>
              </a:p>
            </c:rich>
          </c:tx>
          <c:layout>
            <c:manualLayout>
              <c:xMode val="edge"/>
              <c:yMode val="edge"/>
              <c:x val="0.43041330869444949"/>
              <c:y val="0.87714323051831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763872144"/>
        <c:crosses val="autoZero"/>
        <c:auto val="1"/>
        <c:lblAlgn val="ctr"/>
        <c:lblOffset val="100"/>
        <c:noMultiLvlLbl val="0"/>
      </c:catAx>
      <c:valAx>
        <c:axId val="76387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Frec. acumulada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rgbClr val="000000">
                        <a:lumMod val="65000"/>
                        <a:lumOff val="35000"/>
                      </a:srgbClr>
                    </a:solidFill>
                  </a:defRPr>
                </a:pPr>
                <a:endParaRPr lang="es-PA"/>
              </a:p>
            </c:rich>
          </c:tx>
          <c:layout>
            <c:manualLayout>
              <c:xMode val="edge"/>
              <c:yMode val="edge"/>
              <c:x val="5.8265178876502288E-2"/>
              <c:y val="0.353093958456304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85847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A" sz="1800" b="1" strike="noStrike" spc="-1">
                <a:solidFill>
                  <a:srgbClr val="000000"/>
                </a:solidFill>
                <a:latin typeface="Calibri"/>
              </a:rPr>
              <a:t>Diagrama de Caja y Bigote — Tiempo de Procesamiento</a:t>
            </a:r>
          </a:p>
        </c:rich>
      </c:tx>
      <c:layout>
        <c:manualLayout>
          <c:xMode val="edge"/>
          <c:yMode val="edge"/>
          <c:x val="0.12845452849671377"/>
          <c:y val="4.787058357351079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'[1]2. Caja y Bigote'!$B$21</c:f>
              <c:strCache>
                <c:ptCount val="1"/>
                <c:pt idx="0">
                  <c:v>Base (Mín)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7F7F7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'[1]2. Caja y Bigote'!$A$22</c:f>
              <c:strCache>
                <c:ptCount val="1"/>
                <c:pt idx="0">
                  <c:v>Tiempo (h)</c:v>
                </c:pt>
              </c:strCache>
            </c:strRef>
          </c:cat>
          <c:val>
            <c:numRef>
              <c:f>'[1]2. Caja y Bigote'!$B$22</c:f>
              <c:numCache>
                <c:formatCode>General</c:formatCode>
                <c:ptCount val="1"/>
                <c:pt idx="0">
                  <c:v>3.0052545539187698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9-4646-9A89-BB4C7A4C17A0}"/>
            </c:ext>
          </c:extLst>
        </c:ser>
        <c:ser>
          <c:idx val="1"/>
          <c:order val="1"/>
          <c:tx>
            <c:strRef>
              <c:f>'[1]2. Caja y Bigote'!$C$21</c:f>
              <c:strCache>
                <c:ptCount val="1"/>
                <c:pt idx="0">
                  <c:v>Q1-Mín</c:v>
                </c:pt>
              </c:strCache>
            </c:strRef>
          </c:tx>
          <c:spPr>
            <a:solidFill>
              <a:srgbClr val="D9D9D9"/>
            </a:solidFill>
            <a:ln w="0">
              <a:solidFill>
                <a:srgbClr val="7F7F7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'[1]2. Caja y Bigote'!$A$22</c:f>
              <c:strCache>
                <c:ptCount val="1"/>
                <c:pt idx="0">
                  <c:v>Tiempo (h)</c:v>
                </c:pt>
              </c:strCache>
            </c:strRef>
          </c:cat>
          <c:val>
            <c:numRef>
              <c:f>'[1]2. Caja y Bigote'!$C$22</c:f>
              <c:numCache>
                <c:formatCode>General</c:formatCode>
                <c:ptCount val="1"/>
                <c:pt idx="0">
                  <c:v>8.553445369329431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9-4646-9A89-BB4C7A4C17A0}"/>
            </c:ext>
          </c:extLst>
        </c:ser>
        <c:ser>
          <c:idx val="2"/>
          <c:order val="2"/>
          <c:tx>
            <c:strRef>
              <c:f>'[1]2. Caja y Bigote'!$D$21</c:f>
              <c:strCache>
                <c:ptCount val="1"/>
                <c:pt idx="0">
                  <c:v>Mediana-Q1</c:v>
                </c:pt>
              </c:strCache>
            </c:strRef>
          </c:tx>
          <c:spPr>
            <a:solidFill>
              <a:srgbClr val="1F4E78"/>
            </a:solidFill>
            <a:ln w="0">
              <a:solidFill>
                <a:srgbClr val="7F7F7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'[1]2. Caja y Bigote'!$A$22</c:f>
              <c:strCache>
                <c:ptCount val="1"/>
                <c:pt idx="0">
                  <c:v>Tiempo (h)</c:v>
                </c:pt>
              </c:strCache>
            </c:strRef>
          </c:cat>
          <c:val>
            <c:numRef>
              <c:f>'[1]2. Caja y Bigote'!$D$22</c:f>
              <c:numCache>
                <c:formatCode>General</c:formatCode>
                <c:ptCount val="1"/>
                <c:pt idx="0">
                  <c:v>2.1194117982474499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69-4646-9A89-BB4C7A4C17A0}"/>
            </c:ext>
          </c:extLst>
        </c:ser>
        <c:ser>
          <c:idx val="3"/>
          <c:order val="3"/>
          <c:tx>
            <c:strRef>
              <c:f>'[1]2. Caja y Bigote'!$E$21</c:f>
              <c:strCache>
                <c:ptCount val="1"/>
                <c:pt idx="0">
                  <c:v>Q3-Mediana</c:v>
                </c:pt>
              </c:strCache>
            </c:strRef>
          </c:tx>
          <c:spPr>
            <a:solidFill>
              <a:srgbClr val="1F4E78"/>
            </a:solidFill>
            <a:ln w="0">
              <a:solidFill>
                <a:srgbClr val="7F7F7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'[1]2. Caja y Bigote'!$A$22</c:f>
              <c:strCache>
                <c:ptCount val="1"/>
                <c:pt idx="0">
                  <c:v>Tiempo (h)</c:v>
                </c:pt>
              </c:strCache>
            </c:strRef>
          </c:cat>
          <c:val>
            <c:numRef>
              <c:f>'[1]2. Caja y Bigote'!$E$22</c:f>
              <c:numCache>
                <c:formatCode>General</c:formatCode>
                <c:ptCount val="1"/>
                <c:pt idx="0">
                  <c:v>2.0763721623536746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69-4646-9A89-BB4C7A4C17A0}"/>
            </c:ext>
          </c:extLst>
        </c:ser>
        <c:ser>
          <c:idx val="4"/>
          <c:order val="4"/>
          <c:tx>
            <c:strRef>
              <c:f>'[1]2. Caja y Bigote'!$F$21</c:f>
              <c:strCache>
                <c:ptCount val="1"/>
                <c:pt idx="0">
                  <c:v>Máx-Q3</c:v>
                </c:pt>
              </c:strCache>
            </c:strRef>
          </c:tx>
          <c:spPr>
            <a:solidFill>
              <a:srgbClr val="D9D9D9"/>
            </a:solidFill>
            <a:ln w="0">
              <a:solidFill>
                <a:srgbClr val="7F7F7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'[1]2. Caja y Bigote'!$A$22</c:f>
              <c:strCache>
                <c:ptCount val="1"/>
                <c:pt idx="0">
                  <c:v>Tiempo (h)</c:v>
                </c:pt>
              </c:strCache>
            </c:strRef>
          </c:cat>
          <c:val>
            <c:numRef>
              <c:f>'[1]2. Caja y Bigote'!$F$22</c:f>
              <c:numCache>
                <c:formatCode>General</c:formatCode>
                <c:ptCount val="1"/>
                <c:pt idx="0">
                  <c:v>6.6949894806985739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69-4646-9A89-BB4C7A4C1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041446"/>
        <c:axId val="89507335"/>
      </c:barChart>
      <c:catAx>
        <c:axId val="8004144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A" sz="1000" b="1" strike="noStrike" spc="-1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A"/>
          </a:p>
        </c:txPr>
        <c:crossAx val="89507335"/>
        <c:crosses val="autoZero"/>
        <c:auto val="1"/>
        <c:lblAlgn val="ctr"/>
        <c:lblOffset val="100"/>
        <c:noMultiLvlLbl val="0"/>
      </c:catAx>
      <c:valAx>
        <c:axId val="8950733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A"/>
          </a:p>
        </c:txPr>
        <c:crossAx val="800414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A"/>
              <a:t>Distribución de Calidad de Datos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'[1]3. Estándar Calidad'!$B$4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'[1]3. Estándar Calidad'!$A$5:$A$9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'[1]3. Estándar Calidad'!$B$5:$B$9</c:f>
              <c:numCache>
                <c:formatCode>General</c:formatCode>
                <c:ptCount val="5"/>
                <c:pt idx="0">
                  <c:v>0</c:v>
                </c:pt>
                <c:pt idx="1">
                  <c:v>32</c:v>
                </c:pt>
                <c:pt idx="2">
                  <c:v>106</c:v>
                </c:pt>
                <c:pt idx="3">
                  <c:v>140</c:v>
                </c:pt>
                <c:pt idx="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2-4D81-9EEC-CB4FF9C7B9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338235"/>
        <c:axId val="50219799"/>
      </c:barChart>
      <c:catAx>
        <c:axId val="753382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Nivel de Calidad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50219799"/>
        <c:crosses val="autoZero"/>
        <c:auto val="1"/>
        <c:lblAlgn val="ctr"/>
        <c:lblOffset val="100"/>
        <c:noMultiLvlLbl val="0"/>
      </c:catAx>
      <c:valAx>
        <c:axId val="50219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Frecuencia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753382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s-PA" sz="1400" b="1" i="0" u="none" strike="noStrike" kern="1200" spc="-1" baseline="0">
                <a:solidFill>
                  <a:srgbClr val="000000"/>
                </a:solidFill>
                <a:latin typeface="Calibri"/>
              </a:rPr>
              <a:t>Tiempo Promedio por Tipo de Datos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s-P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('[1]4. Comparación Tipo'!$B$4,'[1]4. Comparación Tipo'!$C$4)</c:f>
              <c:strCache>
                <c:ptCount val="2"/>
                <c:pt idx="0">
                  <c:v>Estructurados</c:v>
                </c:pt>
                <c:pt idx="1">
                  <c:v>No Estructurados</c:v>
                </c:pt>
              </c:strCache>
            </c:strRef>
          </c:cat>
          <c:val>
            <c:numRef>
              <c:f>('[1]4. Comparación Tipo'!$B$6,'[1]4. Comparación Tipo'!$C$6)</c:f>
              <c:numCache>
                <c:formatCode>General</c:formatCode>
                <c:ptCount val="2"/>
                <c:pt idx="0">
                  <c:v>13.67292167289189</c:v>
                </c:pt>
                <c:pt idx="1">
                  <c:v>13.549694387588794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9-4530-9FC2-12CACE08D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845263"/>
        <c:axId val="1331529039"/>
      </c:barChart>
      <c:catAx>
        <c:axId val="133884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331529039"/>
        <c:crosses val="autoZero"/>
        <c:auto val="1"/>
        <c:lblAlgn val="ctr"/>
        <c:lblOffset val="100"/>
        <c:noMultiLvlLbl val="0"/>
      </c:catAx>
      <c:valAx>
        <c:axId val="133152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33884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A" sz="1400" b="1" i="0" u="none" strike="noStrike" kern="1200" spc="-1" baseline="0">
                <a:solidFill>
                  <a:srgbClr val="000000"/>
                </a:solidFill>
                <a:latin typeface="+mn-lt"/>
              </a:rPr>
              <a:t>Tamaño DB (GB) vs Tiempo (Horas)</a:t>
            </a:r>
            <a:endParaRPr lang="es-P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00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152668416447941E-3"/>
                  <c:y val="-0.112346529600466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A"/>
                </a:p>
              </c:txPr>
            </c:trendlineLbl>
          </c:trendline>
          <c:xVal>
            <c:strRef>
              <c:f>[1]Datos!$C$2:$C$401</c:f>
              <c:strCache>
                <c:ptCount val="400"/>
                <c:pt idx="0">
                  <c:v>18.2483570765056</c:v>
                </c:pt>
                <c:pt idx="1">
                  <c:v>9.93086784941441</c:v>
                </c:pt>
                <c:pt idx="2">
                  <c:v>16.3238442690504</c:v>
                </c:pt>
                <c:pt idx="3">
                  <c:v>19.761514928204</c:v>
                </c:pt>
                <c:pt idx="4">
                  <c:v>10.8829233126383</c:v>
                </c:pt>
                <c:pt idx="5">
                  <c:v>12.8829315215254</c:v>
                </c:pt>
                <c:pt idx="6">
                  <c:v>14.7896064077537</c:v>
                </c:pt>
                <c:pt idx="7">
                  <c:v>16.3837173645765</c:v>
                </c:pt>
                <c:pt idx="8">
                  <c:v>11.7652628070325</c:v>
                </c:pt>
                <c:pt idx="9">
                  <c:v>14.271280021793</c:v>
                </c:pt>
                <c:pt idx="10">
                  <c:v>10.7682911535938</c:v>
                </c:pt>
                <c:pt idx="11">
                  <c:v>15.7671351232149</c:v>
                </c:pt>
                <c:pt idx="12">
                  <c:v>16.120981135783</c:v>
                </c:pt>
                <c:pt idx="13">
                  <c:v>12.0433598776711</c:v>
                </c:pt>
                <c:pt idx="14">
                  <c:v>16.1375410837435</c:v>
                </c:pt>
                <c:pt idx="15">
                  <c:v>9.71885623537951</c:v>
                </c:pt>
                <c:pt idx="16">
                  <c:v>11.4935844398328</c:v>
                </c:pt>
                <c:pt idx="17">
                  <c:v>13.1571236662976</c:v>
                </c:pt>
                <c:pt idx="18">
                  <c:v>14.5459879622394</c:v>
                </c:pt>
                <c:pt idx="19">
                  <c:v>8.29384814933236</c:v>
                </c:pt>
                <c:pt idx="20">
                  <c:v>6.73282438446078</c:v>
                </c:pt>
                <c:pt idx="21">
                  <c:v>13.8871118497567</c:v>
                </c:pt>
                <c:pt idx="22">
                  <c:v>19.033764102344</c:v>
                </c:pt>
                <c:pt idx="23">
                  <c:v>11.2876259068933</c:v>
                </c:pt>
                <c:pt idx="24">
                  <c:v>9.72780863773741</c:v>
                </c:pt>
                <c:pt idx="25">
                  <c:v>18.0554612948549</c:v>
                </c:pt>
                <c:pt idx="26">
                  <c:v>16.4245032112889</c:v>
                </c:pt>
                <c:pt idx="27">
                  <c:v>18.1878490091728</c:v>
                </c:pt>
                <c:pt idx="28">
                  <c:v>12.6996806550406</c:v>
                </c:pt>
                <c:pt idx="29">
                  <c:v>19.8541531251034</c:v>
                </c:pt>
                <c:pt idx="30">
                  <c:v>12.6991466938853</c:v>
                </c:pt>
                <c:pt idx="31">
                  <c:v>13.9261390922545</c:v>
                </c:pt>
                <c:pt idx="32">
                  <c:v>17.993251387631</c:v>
                </c:pt>
                <c:pt idx="33">
                  <c:v>20.4711445355221</c:v>
                </c:pt>
                <c:pt idx="34">
                  <c:v>10.4112724560516</c:v>
                </c:pt>
                <c:pt idx="35">
                  <c:v>17.3895781750145</c:v>
                </c:pt>
                <c:pt idx="36">
                  <c:v>18.1044317975024</c:v>
                </c:pt>
                <c:pt idx="37">
                  <c:v>14.0201649380601</c:v>
                </c:pt>
                <c:pt idx="38">
                  <c:v>12.3359069755508</c:v>
                </c:pt>
                <c:pt idx="39">
                  <c:v>21.0984306179346</c:v>
                </c:pt>
                <c:pt idx="40">
                  <c:v>14.3692332899977</c:v>
                </c:pt>
                <c:pt idx="41">
                  <c:v>12.085684140595</c:v>
                </c:pt>
                <c:pt idx="42">
                  <c:v>11.9421758588059</c:v>
                </c:pt>
                <c:pt idx="43">
                  <c:v>21.8494481522054</c:v>
                </c:pt>
                <c:pt idx="44">
                  <c:v>18.2607390048163</c:v>
                </c:pt>
                <c:pt idx="45">
                  <c:v>20.6400778958026</c:v>
                </c:pt>
                <c:pt idx="46">
                  <c:v>12.7696806145201</c:v>
                </c:pt>
                <c:pt idx="47">
                  <c:v>12.5285611131095</c:v>
                </c:pt>
                <c:pt idx="48">
                  <c:v>14.1718091447842</c:v>
                </c:pt>
                <c:pt idx="49">
                  <c:v>9.11847992231863</c:v>
                </c:pt>
                <c:pt idx="50">
                  <c:v>23.1620419846974</c:v>
                </c:pt>
                <c:pt idx="51">
                  <c:v>14.8074588597918</c:v>
                </c:pt>
                <c:pt idx="52">
                  <c:v>24.661538999847</c:v>
                </c:pt>
                <c:pt idx="53">
                  <c:v>15.3058381444204</c:v>
                </c:pt>
                <c:pt idx="54">
                  <c:v>12.515499761248</c:v>
                </c:pt>
                <c:pt idx="55">
                  <c:v>16.4656400595581</c:v>
                </c:pt>
                <c:pt idx="56">
                  <c:v>6.58039123838868</c:v>
                </c:pt>
                <c:pt idx="57">
                  <c:v>20.8453938120744</c:v>
                </c:pt>
                <c:pt idx="58">
                  <c:v>10.1656317157018</c:v>
                </c:pt>
                <c:pt idx="59">
                  <c:v>17.4877725635612</c:v>
                </c:pt>
                <c:pt idx="60">
                  <c:v>11.7604128810774</c:v>
                </c:pt>
                <c:pt idx="61">
                  <c:v>12.9071705116681</c:v>
                </c:pt>
                <c:pt idx="62">
                  <c:v>16.446832512997</c:v>
                </c:pt>
                <c:pt idx="63">
                  <c:v>8.40189668795967</c:v>
                </c:pt>
                <c:pt idx="64">
                  <c:v>13.4062629111971</c:v>
                </c:pt>
                <c:pt idx="65">
                  <c:v>17.6781200142854</c:v>
                </c:pt>
                <c:pt idx="66">
                  <c:v>14.9639949392098</c:v>
                </c:pt>
                <c:pt idx="67">
                  <c:v>17.501766448946</c:v>
                </c:pt>
                <c:pt idx="68">
                  <c:v>17.1808180125238</c:v>
                </c:pt>
                <c:pt idx="69">
                  <c:v>21.6774401226974</c:v>
                </c:pt>
                <c:pt idx="70">
                  <c:v>13.1806978027542</c:v>
                </c:pt>
                <c:pt idx="71">
                  <c:v>12.769018283233</c:v>
                </c:pt>
                <c:pt idx="72">
                  <c:v>18.982086980445</c:v>
                </c:pt>
                <c:pt idx="73">
                  <c:v>15.782321827907</c:v>
                </c:pt>
                <c:pt idx="74">
                  <c:v>19.6901274479551</c:v>
                </c:pt>
                <c:pt idx="75">
                  <c:v>13.4109512521876</c:v>
                </c:pt>
                <c:pt idx="76">
                  <c:v>17.0435235341191</c:v>
                </c:pt>
                <c:pt idx="77">
                  <c:v>15.8504963247671</c:v>
                </c:pt>
                <c:pt idx="78">
                  <c:v>9.04588038826775</c:v>
                </c:pt>
                <c:pt idx="79">
                  <c:v>14.0062155426996</c:v>
                </c:pt>
                <c:pt idx="80">
                  <c:v>16.8901640560812</c:v>
                </c:pt>
                <c:pt idx="81">
                  <c:v>18.1785562857559</c:v>
                </c:pt>
                <c:pt idx="82">
                  <c:v>13.7389470223708</c:v>
                </c:pt>
                <c:pt idx="83">
                  <c:v>16.7408648908632</c:v>
                </c:pt>
                <c:pt idx="84">
                  <c:v>8.59575319855341</c:v>
                </c:pt>
                <c:pt idx="85">
                  <c:v>11.7491214782077</c:v>
                </c:pt>
                <c:pt idx="86">
                  <c:v>21.457701058851</c:v>
                </c:pt>
                <c:pt idx="87">
                  <c:v>19.1643755548298</c:v>
                </c:pt>
                <c:pt idx="88">
                  <c:v>15.7351198981165</c:v>
                </c:pt>
                <c:pt idx="89">
                  <c:v>11.2566337165567</c:v>
                </c:pt>
                <c:pt idx="90">
                  <c:v>12.048538774674</c:v>
                </c:pt>
                <c:pt idx="91">
                  <c:v>17.4843224952664</c:v>
                </c:pt>
                <c:pt idx="92">
                  <c:v>20.6489734530613</c:v>
                </c:pt>
                <c:pt idx="93">
                  <c:v>11.8361689267011</c:v>
                </c:pt>
                <c:pt idx="94">
                  <c:v>19.8039459234339</c:v>
                </c:pt>
                <c:pt idx="95">
                  <c:v>10.2682425259339</c:v>
                </c:pt>
                <c:pt idx="96">
                  <c:v>22.1480601385323</c:v>
                </c:pt>
                <c:pt idx="97">
                  <c:v>16.1305276360899</c:v>
                </c:pt>
                <c:pt idx="98">
                  <c:v>10.0025567283212</c:v>
                </c:pt>
                <c:pt idx="99">
                  <c:v>19.8827064333124</c:v>
                </c:pt>
                <c:pt idx="100">
                  <c:v>16.2923146289748</c:v>
                </c:pt>
                <c:pt idx="101">
                  <c:v>12.7896773386173</c:v>
                </c:pt>
                <c:pt idx="102">
                  <c:v>14.8286427417366</c:v>
                </c:pt>
                <c:pt idx="103">
                  <c:v>18.5988613653892</c:v>
                </c:pt>
                <c:pt idx="104">
                  <c:v>16.919357144167</c:v>
                </c:pt>
                <c:pt idx="105">
                  <c:v>21.2020254284073</c:v>
                </c:pt>
                <c:pt idx="106">
                  <c:v>13.9430929506053</c:v>
                </c:pt>
                <c:pt idx="107">
                  <c:v>16.0872889064159</c:v>
                </c:pt>
                <c:pt idx="108">
                  <c:v>15.1287751953614</c:v>
                </c:pt>
                <c:pt idx="109">
                  <c:v>11.9627770421169</c:v>
                </c:pt>
                <c:pt idx="110">
                  <c:v>3.04061439235048</c:v>
                </c:pt>
                <c:pt idx="111">
                  <c:v>18.9867430622754</c:v>
                </c:pt>
                <c:pt idx="112">
                  <c:v>10.0301151049705</c:v>
                </c:pt>
                <c:pt idx="113">
                  <c:v>19.2316210562426</c:v>
                </c:pt>
                <c:pt idx="114">
                  <c:v>15.9038195176094</c:v>
                </c:pt>
                <c:pt idx="115">
                  <c:v>7.15077367116681</c:v>
                </c:pt>
                <c:pt idx="116">
                  <c:v>14.9826441151474</c:v>
                </c:pt>
                <c:pt idx="117">
                  <c:v>14.4156609811902</c:v>
                </c:pt>
                <c:pt idx="118">
                  <c:v>19.5714114072575</c:v>
                </c:pt>
                <c:pt idx="119">
                  <c:v>14.3759665163434</c:v>
                </c:pt>
                <c:pt idx="120">
                  <c:v>19.3955159735215</c:v>
                </c:pt>
                <c:pt idx="121">
                  <c:v>13.5453062726026</c:v>
                </c:pt>
                <c:pt idx="122">
                  <c:v>10.7013971554681</c:v>
                </c:pt>
                <c:pt idx="123">
                  <c:v>15.2990744686039</c:v>
                </c:pt>
                <c:pt idx="124">
                  <c:v>17.2934285469001</c:v>
                </c:pt>
                <c:pt idx="125">
                  <c:v>17.095227812905</c:v>
                </c:pt>
                <c:pt idx="126">
                  <c:v>13.5047318374347</c:v>
                </c:pt>
                <c:pt idx="127">
                  <c:v>12.7168511351986</c:v>
                </c:pt>
                <c:pt idx="128">
                  <c:v>6.04982568254382</c:v>
                </c:pt>
                <c:pt idx="129">
                  <c:v>14.7482621729419</c:v>
                </c:pt>
                <c:pt idx="130">
                  <c:v>14.2246682844669</c:v>
                </c:pt>
                <c:pt idx="131">
                  <c:v>11.034281487403</c:v>
                </c:pt>
                <c:pt idx="132">
                  <c:v>13.468848143137</c:v>
                </c:pt>
                <c:pt idx="133">
                  <c:v>17.2367962153176</c:v>
                </c:pt>
                <c:pt idx="134">
                  <c:v>12.5402878828831</c:v>
                </c:pt>
                <c:pt idx="135">
                  <c:v>15.7749672025088</c:v>
                </c:pt>
                <c:pt idx="136">
                  <c:v>16.6083733538319</c:v>
                </c:pt>
                <c:pt idx="137">
                  <c:v>7.83896924189716</c:v>
                </c:pt>
                <c:pt idx="138">
                  <c:v>23.4067586086848</c:v>
                </c:pt>
                <c:pt idx="139">
                  <c:v>13.384567841783</c:v>
                </c:pt>
                <c:pt idx="140">
                  <c:v>14.1137299673021</c:v>
                </c:pt>
                <c:pt idx="141">
                  <c:v>23.6535713771412</c:v>
                </c:pt>
                <c:pt idx="142">
                  <c:v>10.1962583827194</c:v>
                </c:pt>
                <c:pt idx="143">
                  <c:v>9.09231692926615</c:v>
                </c:pt>
                <c:pt idx="144">
                  <c:v>9.12994139712421</c:v>
                </c:pt>
                <c:pt idx="145">
                  <c:v>8.39091143588866</c:v>
                </c:pt>
                <c:pt idx="146">
                  <c:v>19.381524644561</c:v>
                </c:pt>
                <c:pt idx="147">
                  <c:v>18.3397716934579</c:v>
                </c:pt>
                <c:pt idx="148">
                  <c:v>16.2609707828085</c:v>
                </c:pt>
                <c:pt idx="149">
                  <c:v>12.1484923366166</c:v>
                </c:pt>
                <c:pt idx="150">
                  <c:v>13.1252464251729</c:v>
                </c:pt>
                <c:pt idx="151">
                  <c:v>13.1732241047485</c:v>
                </c:pt>
                <c:pt idx="152">
                  <c:v>19.6599876392108</c:v>
                </c:pt>
                <c:pt idx="153">
                  <c:v>18.1161268485805</c:v>
                </c:pt>
                <c:pt idx="154">
                  <c:v>15.1465362366493</c:v>
                </c:pt>
                <c:pt idx="155">
                  <c:v>12.6428242909868</c:v>
                </c:pt>
                <c:pt idx="156">
                  <c:v>14.9328872555724</c:v>
                </c:pt>
                <c:pt idx="157">
                  <c:v>21.2369164604559</c:v>
                </c:pt>
                <c:pt idx="158">
                  <c:v>12.4043482513987</c:v>
                </c:pt>
                <c:pt idx="159">
                  <c:v>24.3282768043169</c:v>
                </c:pt>
                <c:pt idx="160">
                  <c:v>15.5126591648863</c:v>
                </c:pt>
                <c:pt idx="161">
                  <c:v>12.3935423018712</c:v>
                </c:pt>
                <c:pt idx="162">
                  <c:v>17.5792977895037</c:v>
                </c:pt>
                <c:pt idx="163">
                  <c:v>8.58965884082415</c:v>
                </c:pt>
                <c:pt idx="164">
                  <c:v>7.48168806462216</c:v>
                </c:pt>
                <c:pt idx="165">
                  <c:v>14.2063904634683</c:v>
                </c:pt>
                <c:pt idx="166">
                  <c:v>13.4110300799972</c:v>
                </c:pt>
                <c:pt idx="167">
                  <c:v>10.948396491327</c:v>
                </c:pt>
                <c:pt idx="168">
                  <c:v>15.8773059419986</c:v>
                </c:pt>
                <c:pt idx="169">
                  <c:v>16.6231319178213</c:v>
                </c:pt>
                <c:pt idx="170">
                  <c:v>12.5552427851872</c:v>
                </c:pt>
                <c:pt idx="171">
                  <c:v>12.5920948575173</c:v>
                </c:pt>
                <c:pt idx="172">
                  <c:v>17.961449145293</c:v>
                </c:pt>
                <c:pt idx="173">
                  <c:v>14.1705759874083</c:v>
                </c:pt>
                <c:pt idx="174">
                  <c:v>9.13834539966501</c:v>
                </c:pt>
                <c:pt idx="175">
                  <c:v>7.41359162451801</c:v>
                </c:pt>
                <c:pt idx="176">
                  <c:v>9.00650094593895</c:v>
                </c:pt>
                <c:pt idx="177">
                  <c:v>18.7267670385787</c:v>
                </c:pt>
                <c:pt idx="178">
                  <c:v>24.867671583381</c:v>
                </c:pt>
                <c:pt idx="179">
                  <c:v>9.36008458329481</c:v>
                </c:pt>
                <c:pt idx="180">
                  <c:v>16.3128336738825</c:v>
                </c:pt>
                <c:pt idx="181">
                  <c:v>13.5714212217919</c:v>
                </c:pt>
                <c:pt idx="182">
                  <c:v>5.46455375096944</c:v>
                </c:pt>
                <c:pt idx="183">
                  <c:v>14.2412362076216</c:v>
                </c:pt>
                <c:pt idx="184">
                  <c:v>11.8882686073371</c:v>
                </c:pt>
                <c:pt idx="185">
                  <c:v>15.3570002470461</c:v>
                </c:pt>
                <c:pt idx="186">
                  <c:v>16.2366188122868</c:v>
                </c:pt>
                <c:pt idx="187">
                  <c:v>16.9635855436716</c:v>
                </c:pt>
                <c:pt idx="188">
                  <c:v>12.5766031409658</c:v>
                </c:pt>
                <c:pt idx="189">
                  <c:v>16.2425763876571</c:v>
                </c:pt>
                <c:pt idx="190">
                  <c:v>20.7767425239665</c:v>
                </c:pt>
                <c:pt idx="191">
                  <c:v>23.4281993971617</c:v>
                </c:pt>
                <c:pt idx="192">
                  <c:v>16.1070468720651</c:v>
                </c:pt>
                <c:pt idx="193">
                  <c:v>21.377130610644</c:v>
                </c:pt>
                <c:pt idx="194">
                  <c:v>6.08659046292559</c:v>
                </c:pt>
                <c:pt idx="195">
                  <c:v>13.1926586898644</c:v>
                </c:pt>
                <c:pt idx="196">
                  <c:v>15.5580712818994</c:v>
                </c:pt>
                <c:pt idx="197">
                  <c:v>19.0768625529728</c:v>
                </c:pt>
                <c:pt idx="198">
                  <c:v>14.029104359223</c:v>
                </c:pt>
                <c:pt idx="199">
                  <c:v>19.4285148510847</c:v>
                </c:pt>
                <c:pt idx="200">
                  <c:v>18.1788936801741</c:v>
                </c:pt>
                <c:pt idx="201">
                  <c:v>10.2803922631841</c:v>
                </c:pt>
                <c:pt idx="202">
                  <c:v>16.5415256215876</c:v>
                </c:pt>
                <c:pt idx="203">
                  <c:v>19.5269010260175</c:v>
                </c:pt>
                <c:pt idx="204">
                  <c:v>10.3111653160215</c:v>
                </c:pt>
                <c:pt idx="205">
                  <c:v>12.5310874800424</c:v>
                </c:pt>
                <c:pt idx="206">
                  <c:v>14.2575176336043</c:v>
                </c:pt>
                <c:pt idx="207">
                  <c:v>16.2568929754561</c:v>
                </c:pt>
                <c:pt idx="208">
                  <c:v>12.257523843153</c:v>
                </c:pt>
                <c:pt idx="209">
                  <c:v>15.9263657453274</c:v>
                </c:pt>
                <c:pt idx="210">
                  <c:v>11.2854452553466</c:v>
                </c:pt>
                <c:pt idx="211">
                  <c:v>16.5677828200903</c:v>
                </c:pt>
                <c:pt idx="212">
                  <c:v>16.4770008817466</c:v>
                </c:pt>
                <c:pt idx="213">
                  <c:v>13.3256956256529</c:v>
                </c:pt>
                <c:pt idx="214">
                  <c:v>16.8423653776798</c:v>
                </c:pt>
                <c:pt idx="215">
                  <c:v>10.3794846102466</c:v>
                </c:pt>
                <c:pt idx="216">
                  <c:v>11.6135873927312</c:v>
                </c:pt>
                <c:pt idx="217">
                  <c:v>12.88159069663</c:v>
                </c:pt>
                <c:pt idx="218">
                  <c:v>14.7573182260855</c:v>
                </c:pt>
                <c:pt idx="219">
                  <c:v>9.04093706969316</c:v>
                </c:pt>
                <c:pt idx="220">
                  <c:v>7.15732928333675</c:v>
                </c:pt>
                <c:pt idx="221">
                  <c:v>13.0663674037041</c:v>
                </c:pt>
                <c:pt idx="222">
                  <c:v>19.3431300951873</c:v>
                </c:pt>
                <c:pt idx="223">
                  <c:v>11.1936420644052</c:v>
                </c:pt>
                <c:pt idx="224">
                  <c:v>9.76403406710528</c:v>
                </c:pt>
                <c:pt idx="225">
                  <c:v>18.5444752984837</c:v>
                </c:pt>
                <c:pt idx="226">
                  <c:v>17.0321400095477</c:v>
                </c:pt>
                <c:pt idx="227">
                  <c:v>17.4611276110354</c:v>
                </c:pt>
                <c:pt idx="228">
                  <c:v>12.64234814537</c:v>
                </c:pt>
                <c:pt idx="229">
                  <c:v>20.3397988744673</c:v>
                </c:pt>
                <c:pt idx="230">
                  <c:v>12.6348166841414</c:v>
                </c:pt>
                <c:pt idx="231">
                  <c:v>13.108229294791</c:v>
                </c:pt>
                <c:pt idx="232">
                  <c:v>18.0227859199519</c:v>
                </c:pt>
                <c:pt idx="233">
                  <c:v>20.6741998261971</c:v>
                </c:pt>
                <c:pt idx="234">
                  <c:v>11.0719720446627</c:v>
                </c:pt>
                <c:pt idx="235">
                  <c:v>18.316959511159</c:v>
                </c:pt>
                <c:pt idx="236">
                  <c:v>16.9874287066712</c:v>
                </c:pt>
                <c:pt idx="237">
                  <c:v>15.0932271573847</c:v>
                </c:pt>
                <c:pt idx="238">
                  <c:v>12.6691067676158</c:v>
                </c:pt>
                <c:pt idx="239">
                  <c:v>21.4262166673981</c:v>
                </c:pt>
                <c:pt idx="240">
                  <c:v>13.6037396307837</c:v>
                </c:pt>
                <c:pt idx="241">
                  <c:v>11.9426317792666</c:v>
                </c:pt>
                <c:pt idx="242">
                  <c:v>12.2524936394902</c:v>
                </c:pt>
                <c:pt idx="243">
                  <c:v>22.4328775970851</c:v>
                </c:pt>
                <c:pt idx="244">
                  <c:v>18.3998517964721</c:v>
                </c:pt>
                <c:pt idx="245">
                  <c:v>20.8327493820795</c:v>
                </c:pt>
                <c:pt idx="246">
                  <c:v>12.7625273444195</c:v>
                </c:pt>
                <c:pt idx="247">
                  <c:v>11.6733353837131</c:v>
                </c:pt>
                <c:pt idx="248">
                  <c:v>14.8827271201406</c:v>
                </c:pt>
                <c:pt idx="249">
                  <c:v>10.2024908554805</c:v>
                </c:pt>
                <c:pt idx="250">
                  <c:v>22.3695580228325</c:v>
                </c:pt>
                <c:pt idx="251">
                  <c:v>15.4589309735274</c:v>
                </c:pt>
                <c:pt idx="252">
                  <c:v>26.0610780985063</c:v>
                </c:pt>
                <c:pt idx="253">
                  <c:v>15.5162326302756</c:v>
                </c:pt>
                <c:pt idx="254">
                  <c:v>11.240315017023</c:v>
                </c:pt>
                <c:pt idx="255">
                  <c:v>15.7578829635669</c:v>
                </c:pt>
                <c:pt idx="256">
                  <c:v>7.63345557459331</c:v>
                </c:pt>
                <c:pt idx="257">
                  <c:v>20.6461652671906</c:v>
                </c:pt>
                <c:pt idx="258">
                  <c:v>10.2219097140731</c:v>
                </c:pt>
                <c:pt idx="259">
                  <c:v>17.3873170267147</c:v>
                </c:pt>
                <c:pt idx="260">
                  <c:v>11.536534764211</c:v>
                </c:pt>
                <c:pt idx="261">
                  <c:v>12.9702373219691</c:v>
                </c:pt>
                <c:pt idx="262">
                  <c:v>15.3793663299655</c:v>
                </c:pt>
                <c:pt idx="263">
                  <c:v>8.48780617933286</c:v>
                </c:pt>
                <c:pt idx="264">
                  <c:v>12.8737159243034</c:v>
                </c:pt>
                <c:pt idx="265">
                  <c:v>16.3761084090176</c:v>
                </c:pt>
                <c:pt idx="266">
                  <c:v>15.8162056519658</c:v>
                </c:pt>
                <c:pt idx="267">
                  <c:v>16.2849293110197</c:v>
                </c:pt>
                <c:pt idx="268">
                  <c:v>16.7799777566515</c:v>
                </c:pt>
                <c:pt idx="269">
                  <c:v>22.0653702886431</c:v>
                </c:pt>
                <c:pt idx="270">
                  <c:v>13.7206366445331</c:v>
                </c:pt>
                <c:pt idx="271">
                  <c:v>11.2820689244103</c:v>
                </c:pt>
                <c:pt idx="272">
                  <c:v>19.5815818760775</c:v>
                </c:pt>
                <c:pt idx="273">
                  <c:v>15.0051165305098</c:v>
                </c:pt>
                <c:pt idx="274">
                  <c:v>20.509245674476</c:v>
                </c:pt>
                <c:pt idx="275">
                  <c:v>13.2310517371316</c:v>
                </c:pt>
                <c:pt idx="276">
                  <c:v>17.0995298477867</c:v>
                </c:pt>
                <c:pt idx="277">
                  <c:v>15.6998915614206</c:v>
                </c:pt>
                <c:pt idx="278">
                  <c:v>9.03490104249501</c:v>
                </c:pt>
                <c:pt idx="279">
                  <c:v>14.8073432015691</c:v>
                </c:pt>
                <c:pt idx="280">
                  <c:v>17.0567586726256</c:v>
                </c:pt>
                <c:pt idx="281">
                  <c:v>18.3310653372605</c:v>
                </c:pt>
                <c:pt idx="282">
                  <c:v>13.7930084080727</c:v>
                </c:pt>
                <c:pt idx="283">
                  <c:v>16.3810922505866</c:v>
                </c:pt>
                <c:pt idx="284">
                  <c:v>10.0665166873281</c:v>
                </c:pt>
                <c:pt idx="285">
                  <c:v>11.0239561002388</c:v>
                </c:pt>
                <c:pt idx="286">
                  <c:v>20.9241074524822</c:v>
                </c:pt>
                <c:pt idx="287">
                  <c:v>19.2941586032423</c:v>
                </c:pt>
                <c:pt idx="288">
                  <c:v>16.1404959338675</c:v>
                </c:pt>
                <c:pt idx="289">
                  <c:v>10.6886502400897</c:v>
                </c:pt>
                <c:pt idx="290">
                  <c:v>11.8959388748214</c:v>
                </c:pt>
                <c:pt idx="291">
                  <c:v>16.7534995326706</c:v>
                </c:pt>
                <c:pt idx="292">
                  <c:v>20.7053176215279</c:v>
                </c:pt>
                <c:pt idx="293">
                  <c:v>12.4248010485105</c:v>
                </c:pt>
                <c:pt idx="294">
                  <c:v>20.1785077429825</c:v>
                </c:pt>
                <c:pt idx="295">
                  <c:v>10.6535452023697</c:v>
                </c:pt>
                <c:pt idx="296">
                  <c:v>22.4497999377166</c:v>
                </c:pt>
                <c:pt idx="297">
                  <c:v>16.1536497604383</c:v>
                </c:pt>
                <c:pt idx="298">
                  <c:v>10.4064310594195</c:v>
                </c:pt>
                <c:pt idx="299">
                  <c:v>20.3148144209618</c:v>
                </c:pt>
                <c:pt idx="300">
                  <c:v>16.585502494539</c:v>
                </c:pt>
                <c:pt idx="301">
                  <c:v>12.7199094799015</c:v>
                </c:pt>
                <c:pt idx="302">
                  <c:v>15.3736468025616</c:v>
                </c:pt>
                <c:pt idx="303">
                  <c:v>19.3051851327167</c:v>
                </c:pt>
                <c:pt idx="304">
                  <c:v>16.9895492030179</c:v>
                </c:pt>
                <c:pt idx="305">
                  <c:v>21.0586636916544</c:v>
                </c:pt>
                <c:pt idx="306">
                  <c:v>13.6388324478942</c:v>
                </c:pt>
                <c:pt idx="307">
                  <c:v>15.7042143055821</c:v>
                </c:pt>
                <c:pt idx="308">
                  <c:v>15.273548690585</c:v>
                </c:pt>
                <c:pt idx="309">
                  <c:v>11.8989036737831</c:v>
                </c:pt>
                <c:pt idx="310">
                  <c:v>3.89115939838639</c:v>
                </c:pt>
                <c:pt idx="311">
                  <c:v>19.5493884259936</c:v>
                </c:pt>
                <c:pt idx="312">
                  <c:v>10.412708174494</c:v>
                </c:pt>
                <c:pt idx="313">
                  <c:v>18.4067548180003</c:v>
                </c:pt>
                <c:pt idx="314">
                  <c:v>16.6527394035772</c:v>
                </c:pt>
                <c:pt idx="315">
                  <c:v>7.01050192081638</c:v>
                </c:pt>
                <c:pt idx="316">
                  <c:v>15.3409764856475</c:v>
                </c:pt>
                <c:pt idx="317">
                  <c:v>14.8448666217033</c:v>
                </c:pt>
                <c:pt idx="318">
                  <c:v>19.1620831762442</c:v>
                </c:pt>
                <c:pt idx="319">
                  <c:v>13.9349284728162</c:v>
                </c:pt>
                <c:pt idx="320">
                  <c:v>19.0484979824964</c:v>
                </c:pt>
                <c:pt idx="321">
                  <c:v>14.2975785127185</c:v>
                </c:pt>
                <c:pt idx="322">
                  <c:v>9.59088965838326</c:v>
                </c:pt>
                <c:pt idx="323">
                  <c:v>17.0461936378427</c:v>
                </c:pt>
                <c:pt idx="324">
                  <c:v>16.4969913092502</c:v>
                </c:pt>
                <c:pt idx="325">
                  <c:v>15.3929056936061</c:v>
                </c:pt>
                <c:pt idx="326">
                  <c:v>14.57905543675</c:v>
                </c:pt>
                <c:pt idx="327">
                  <c:v>13.3958313469815</c:v>
                </c:pt>
                <c:pt idx="328">
                  <c:v>6.31205990852608</c:v>
                </c:pt>
                <c:pt idx="329">
                  <c:v>15.3141727546321</c:v>
                </c:pt>
                <c:pt idx="330">
                  <c:v>14.9938766135765</c:v>
                </c:pt>
                <c:pt idx="331">
                  <c:v>10.5513728142571</c:v>
                </c:pt>
                <c:pt idx="332">
                  <c:v>14.0379022790969</c:v>
                </c:pt>
                <c:pt idx="333">
                  <c:v>16.6614191442439</c:v>
                </c:pt>
                <c:pt idx="334">
                  <c:v>13.4875598667089</c:v>
                </c:pt>
                <c:pt idx="335">
                  <c:v>14.9264713092489</c:v>
                </c:pt>
                <c:pt idx="336">
                  <c:v>16.5872514016037</c:v>
                </c:pt>
                <c:pt idx="337">
                  <c:v>7.8393070791735</c:v>
                </c:pt>
                <c:pt idx="338">
                  <c:v>23.2064657271378</c:v>
                </c:pt>
                <c:pt idx="339">
                  <c:v>13.718137723598</c:v>
                </c:pt>
                <c:pt idx="340">
                  <c:v>13.5888898022168</c:v>
                </c:pt>
                <c:pt idx="341">
                  <c:v>23.121843605746</c:v>
                </c:pt>
                <c:pt idx="342">
                  <c:v>11.1224832855544</c:v>
                </c:pt>
                <c:pt idx="343">
                  <c:v>8.74652841231444</c:v>
                </c:pt>
                <c:pt idx="344">
                  <c:v>8.76448084719084</c:v>
                </c:pt>
                <c:pt idx="345">
                  <c:v>8.11602496867882</c:v>
                </c:pt>
                <c:pt idx="346">
                  <c:v>19.2759578292513</c:v>
                </c:pt>
                <c:pt idx="347">
                  <c:v>18.2962681128117</c:v>
                </c:pt>
                <c:pt idx="348">
                  <c:v>15.6407778893738</c:v>
                </c:pt>
                <c:pt idx="349">
                  <c:v>11.8932764241441</c:v>
                </c:pt>
                <c:pt idx="350">
                  <c:v>13.155453782799</c:v>
                </c:pt>
                <c:pt idx="351">
                  <c:v>13.7376781084748</c:v>
                </c:pt>
                <c:pt idx="352">
                  <c:v>20.428829811601</c:v>
                </c:pt>
                <c:pt idx="353">
                  <c:v>17.9200307350183</c:v>
                </c:pt>
                <c:pt idx="354">
                  <c:v>14.9904918960487</c:v>
                </c:pt>
                <c:pt idx="355">
                  <c:v>12.4987353176811</c:v>
                </c:pt>
                <c:pt idx="356">
                  <c:v>13.9907434320038</c:v>
                </c:pt>
                <c:pt idx="357">
                  <c:v>20.8556706805399</c:v>
                </c:pt>
                <c:pt idx="358">
                  <c:v>13.161359280169</c:v>
                </c:pt>
                <c:pt idx="359">
                  <c:v>23.5863845282238</c:v>
                </c:pt>
                <c:pt idx="360">
                  <c:v>16.2596732571206</c:v>
                </c:pt>
                <c:pt idx="361">
                  <c:v>12.7663694565013</c:v>
                </c:pt>
                <c:pt idx="362">
                  <c:v>16.9456199257716</c:v>
                </c:pt>
                <c:pt idx="363">
                  <c:v>9.20085586104947</c:v>
                </c:pt>
                <c:pt idx="364">
                  <c:v>7.34507199585556</c:v>
                </c:pt>
                <c:pt idx="365">
                  <c:v>13.7993897640571</c:v>
                </c:pt>
                <c:pt idx="366">
                  <c:v>13.1120462409052</c:v>
                </c:pt>
                <c:pt idx="367">
                  <c:v>10.0062962003909</c:v>
                </c:pt>
                <c:pt idx="368">
                  <c:v>16.0488380492744</c:v>
                </c:pt>
                <c:pt idx="369">
                  <c:v>16.6134951080723</c:v>
                </c:pt>
                <c:pt idx="370">
                  <c:v>13.0122550871295</c:v>
                </c:pt>
                <c:pt idx="371">
                  <c:v>13.2489991456227</c:v>
                </c:pt>
                <c:pt idx="372">
                  <c:v>18.7255718038975</c:v>
                </c:pt>
                <c:pt idx="373">
                  <c:v>14.4796354130426</c:v>
                </c:pt>
                <c:pt idx="374">
                  <c:v>10.0765912287558</c:v>
                </c:pt>
                <c:pt idx="375">
                  <c:v>6.61632621855598</c:v>
                </c:pt>
                <c:pt idx="376">
                  <c:v>9.43616031836034</c:v>
                </c:pt>
                <c:pt idx="377">
                  <c:v>18.0916710028692</c:v>
                </c:pt>
                <c:pt idx="378">
                  <c:v>26.0949014666088</c:v>
                </c:pt>
                <c:pt idx="379">
                  <c:v>7.59585085732242</c:v>
                </c:pt>
                <c:pt idx="380">
                  <c:v>15.5801390789096</c:v>
                </c:pt>
                <c:pt idx="381">
                  <c:v>13.700303677278</c:v>
                </c:pt>
                <c:pt idx="382">
                  <c:v>4.9380521378451</c:v>
                </c:pt>
                <c:pt idx="383">
                  <c:v>13.7371224891596</c:v>
                </c:pt>
                <c:pt idx="384">
                  <c:v>11.6204336692232</c:v>
                </c:pt>
                <c:pt idx="385">
                  <c:v>15.0751968932381</c:v>
                </c:pt>
                <c:pt idx="386">
                  <c:v>16.1708779878886</c:v>
                </c:pt>
                <c:pt idx="387">
                  <c:v>17.9380854196079</c:v>
                </c:pt>
                <c:pt idx="388">
                  <c:v>13.475211919093</c:v>
                </c:pt>
                <c:pt idx="389">
                  <c:v>16.7115481721688</c:v>
                </c:pt>
                <c:pt idx="390">
                  <c:v>20.5507926643258</c:v>
                </c:pt>
                <c:pt idx="391">
                  <c:v>23.2459595857533</c:v>
                </c:pt>
                <c:pt idx="392">
                  <c:v>15.3398833964897</c:v>
                </c:pt>
                <c:pt idx="393">
                  <c:v>22.9157293829272</c:v>
                </c:pt>
                <c:pt idx="394">
                  <c:v>6.58972006036064</c:v>
                </c:pt>
                <c:pt idx="395">
                  <c:v>12.7654121739477</c:v>
                </c:pt>
                <c:pt idx="396">
                  <c:v>15.1434327354546</c:v>
                </c:pt>
                <c:pt idx="397">
                  <c:v>19.6769361870827</c:v>
                </c:pt>
                <c:pt idx="398">
                  <c:v>13.9427300773737</c:v>
                </c:pt>
                <c:pt idx="399">
                  <c:v>20.6189081559867</c:v>
                </c:pt>
              </c:strCache>
            </c:strRef>
          </c:xVal>
          <c:yVal>
            <c:numRef>
              <c:f>[1]Datos!$D$2:$D$401</c:f>
              <c:numCache>
                <c:formatCode>General</c:formatCode>
                <c:ptCount val="400"/>
                <c:pt idx="0">
                  <c:v>12.650402467902399</c:v>
                </c:pt>
                <c:pt idx="1">
                  <c:v>7.8465119664020397</c:v>
                </c:pt>
                <c:pt idx="2">
                  <c:v>18.2934368519213</c:v>
                </c:pt>
                <c:pt idx="3">
                  <c:v>16.354213761904301</c:v>
                </c:pt>
                <c:pt idx="4">
                  <c:v>12.844000643802501</c:v>
                </c:pt>
                <c:pt idx="5">
                  <c:v>12.0946133250876</c:v>
                </c:pt>
                <c:pt idx="6">
                  <c:v>11.3896388586077</c:v>
                </c:pt>
                <c:pt idx="7">
                  <c:v>9.9412842031688999</c:v>
                </c:pt>
                <c:pt idx="8">
                  <c:v>17.77764785478</c:v>
                </c:pt>
                <c:pt idx="9">
                  <c:v>17.904702937757701</c:v>
                </c:pt>
                <c:pt idx="10">
                  <c:v>11.1978552182038</c:v>
                </c:pt>
                <c:pt idx="11">
                  <c:v>13.2244951043063</c:v>
                </c:pt>
                <c:pt idx="12">
                  <c:v>11.3197825177366</c:v>
                </c:pt>
                <c:pt idx="13">
                  <c:v>16.053874715719701</c:v>
                </c:pt>
                <c:pt idx="14">
                  <c:v>14.691367565359</c:v>
                </c:pt>
                <c:pt idx="15">
                  <c:v>14.585083559174</c:v>
                </c:pt>
                <c:pt idx="16">
                  <c:v>9.6594152362102808</c:v>
                </c:pt>
                <c:pt idx="17">
                  <c:v>14.2428104906003</c:v>
                </c:pt>
                <c:pt idx="18">
                  <c:v>9.2541405664508591</c:v>
                </c:pt>
                <c:pt idx="19">
                  <c:v>8.2039121859149606</c:v>
                </c:pt>
                <c:pt idx="20">
                  <c:v>14.9527756388153</c:v>
                </c:pt>
                <c:pt idx="21">
                  <c:v>12.452029111196801</c:v>
                </c:pt>
                <c:pt idx="22">
                  <c:v>11.223453100944999</c:v>
                </c:pt>
                <c:pt idx="23">
                  <c:v>15.3594044792929</c:v>
                </c:pt>
                <c:pt idx="24">
                  <c:v>13.3886657418259</c:v>
                </c:pt>
                <c:pt idx="25">
                  <c:v>12.9059751006873</c:v>
                </c:pt>
                <c:pt idx="26">
                  <c:v>3.0225315056937099</c:v>
                </c:pt>
                <c:pt idx="27">
                  <c:v>11.704677916640099</c:v>
                </c:pt>
                <c:pt idx="28">
                  <c:v>16.0549673356767</c:v>
                </c:pt>
                <c:pt idx="29">
                  <c:v>15.626719987045901</c:v>
                </c:pt>
                <c:pt idx="30">
                  <c:v>15.181406050602</c:v>
                </c:pt>
                <c:pt idx="31">
                  <c:v>10.242997120236099</c:v>
                </c:pt>
                <c:pt idx="32">
                  <c:v>11.5129245467286</c:v>
                </c:pt>
                <c:pt idx="33">
                  <c:v>16.758650960676</c:v>
                </c:pt>
                <c:pt idx="34">
                  <c:v>13.651706780679801</c:v>
                </c:pt>
                <c:pt idx="35">
                  <c:v>15.3157521472369</c:v>
                </c:pt>
                <c:pt idx="36">
                  <c:v>16.972522488526302</c:v>
                </c:pt>
                <c:pt idx="37">
                  <c:v>14.588141289030199</c:v>
                </c:pt>
                <c:pt idx="38">
                  <c:v>12.121676275302301</c:v>
                </c:pt>
                <c:pt idx="39">
                  <c:v>16.648634145275199</c:v>
                </c:pt>
                <c:pt idx="40">
                  <c:v>13.424887394724999</c:v>
                </c:pt>
                <c:pt idx="41">
                  <c:v>13.920728505627601</c:v>
                </c:pt>
                <c:pt idx="42">
                  <c:v>15.874092591918499</c:v>
                </c:pt>
                <c:pt idx="43">
                  <c:v>19.066837975443299</c:v>
                </c:pt>
                <c:pt idx="44">
                  <c:v>12.4638930373874</c:v>
                </c:pt>
                <c:pt idx="45">
                  <c:v>17.070176052707801</c:v>
                </c:pt>
                <c:pt idx="46">
                  <c:v>12.1308103507745</c:v>
                </c:pt>
                <c:pt idx="47">
                  <c:v>9.6581866813726496</c:v>
                </c:pt>
                <c:pt idx="48">
                  <c:v>10.9164423551633</c:v>
                </c:pt>
                <c:pt idx="49">
                  <c:v>14.2959393285815</c:v>
                </c:pt>
                <c:pt idx="50">
                  <c:v>16.001756018873799</c:v>
                </c:pt>
                <c:pt idx="51">
                  <c:v>13.569629697446899</c:v>
                </c:pt>
                <c:pt idx="52">
                  <c:v>17.045707648641699</c:v>
                </c:pt>
                <c:pt idx="53">
                  <c:v>15.0613694388085</c:v>
                </c:pt>
                <c:pt idx="54">
                  <c:v>12.8732014068294</c:v>
                </c:pt>
                <c:pt idx="55">
                  <c:v>7.5215063682930898</c:v>
                </c:pt>
                <c:pt idx="56">
                  <c:v>10.2866839941032</c:v>
                </c:pt>
                <c:pt idx="57">
                  <c:v>16.300220744623299</c:v>
                </c:pt>
                <c:pt idx="58">
                  <c:v>11.7957061589511</c:v>
                </c:pt>
                <c:pt idx="59">
                  <c:v>10.8858644453307</c:v>
                </c:pt>
                <c:pt idx="60">
                  <c:v>17.913141956834998</c:v>
                </c:pt>
                <c:pt idx="61">
                  <c:v>13.558760547451399</c:v>
                </c:pt>
                <c:pt idx="62">
                  <c:v>16.776643511142499</c:v>
                </c:pt>
                <c:pt idx="63">
                  <c:v>10.6463365441834</c:v>
                </c:pt>
                <c:pt idx="64">
                  <c:v>15.7664262522085</c:v>
                </c:pt>
                <c:pt idx="65">
                  <c:v>14.465206406034399</c:v>
                </c:pt>
                <c:pt idx="66">
                  <c:v>16.052371550296499</c:v>
                </c:pt>
                <c:pt idx="67">
                  <c:v>12.426519776874001</c:v>
                </c:pt>
                <c:pt idx="68">
                  <c:v>14.067513771398801</c:v>
                </c:pt>
                <c:pt idx="69">
                  <c:v>17.718208102492198</c:v>
                </c:pt>
                <c:pt idx="70">
                  <c:v>13.041532826086099</c:v>
                </c:pt>
                <c:pt idx="71">
                  <c:v>8.6769906264173908</c:v>
                </c:pt>
                <c:pt idx="72">
                  <c:v>14.131973059039201</c:v>
                </c:pt>
                <c:pt idx="73">
                  <c:v>15.6934101606307</c:v>
                </c:pt>
                <c:pt idx="74">
                  <c:v>11.326580146999101</c:v>
                </c:pt>
                <c:pt idx="75">
                  <c:v>16.338212174968501</c:v>
                </c:pt>
                <c:pt idx="76">
                  <c:v>15.6032602048993</c:v>
                </c:pt>
                <c:pt idx="77">
                  <c:v>14.1373818515974</c:v>
                </c:pt>
                <c:pt idx="78">
                  <c:v>16.572972232888802</c:v>
                </c:pt>
                <c:pt idx="79">
                  <c:v>13.369188969721799</c:v>
                </c:pt>
                <c:pt idx="80">
                  <c:v>11.682861668466</c:v>
                </c:pt>
                <c:pt idx="81">
                  <c:v>10.243021090015899</c:v>
                </c:pt>
                <c:pt idx="82">
                  <c:v>14.2057965941523</c:v>
                </c:pt>
                <c:pt idx="83">
                  <c:v>17.842597045912498</c:v>
                </c:pt>
                <c:pt idx="84">
                  <c:v>7.6180705984541</c:v>
                </c:pt>
                <c:pt idx="85">
                  <c:v>10.8881902115409</c:v>
                </c:pt>
                <c:pt idx="86">
                  <c:v>12.872725535428099</c:v>
                </c:pt>
                <c:pt idx="87">
                  <c:v>13.198565593751299</c:v>
                </c:pt>
                <c:pt idx="88">
                  <c:v>17.202589981353199</c:v>
                </c:pt>
                <c:pt idx="89">
                  <c:v>16.985420078006101</c:v>
                </c:pt>
                <c:pt idx="90">
                  <c:v>13.699052124645499</c:v>
                </c:pt>
                <c:pt idx="91">
                  <c:v>18.812320458953501</c:v>
                </c:pt>
                <c:pt idx="92">
                  <c:v>16.398125869214301</c:v>
                </c:pt>
                <c:pt idx="93">
                  <c:v>10.229704487236599</c:v>
                </c:pt>
                <c:pt idx="94">
                  <c:v>17.379711103318801</c:v>
                </c:pt>
                <c:pt idx="95">
                  <c:v>11.7604057863382</c:v>
                </c:pt>
                <c:pt idx="96">
                  <c:v>14.2057782396693</c:v>
                </c:pt>
                <c:pt idx="97">
                  <c:v>18.2171053089621</c:v>
                </c:pt>
                <c:pt idx="98">
                  <c:v>13.231788569531499</c:v>
                </c:pt>
                <c:pt idx="99">
                  <c:v>14.915622267246601</c:v>
                </c:pt>
                <c:pt idx="100">
                  <c:v>12.171144457244001</c:v>
                </c:pt>
                <c:pt idx="101">
                  <c:v>11.7637889455474</c:v>
                </c:pt>
                <c:pt idx="102">
                  <c:v>11.906518232826899</c:v>
                </c:pt>
                <c:pt idx="103">
                  <c:v>14.6205719588575</c:v>
                </c:pt>
                <c:pt idx="104">
                  <c:v>14.520807089821201</c:v>
                </c:pt>
                <c:pt idx="105">
                  <c:v>13.7015726606081</c:v>
                </c:pt>
                <c:pt idx="106">
                  <c:v>13.649078779561499</c:v>
                </c:pt>
                <c:pt idx="107">
                  <c:v>15.0228942507869</c:v>
                </c:pt>
                <c:pt idx="108">
                  <c:v>14.808138533054001</c:v>
                </c:pt>
                <c:pt idx="109">
                  <c:v>9.2431938295213101</c:v>
                </c:pt>
                <c:pt idx="110">
                  <c:v>10.0586086311699</c:v>
                </c:pt>
                <c:pt idx="111">
                  <c:v>18.7711835241107</c:v>
                </c:pt>
                <c:pt idx="112">
                  <c:v>12.8825589317488</c:v>
                </c:pt>
                <c:pt idx="113">
                  <c:v>13.9834912544446</c:v>
                </c:pt>
                <c:pt idx="114">
                  <c:v>10.1353381247445</c:v>
                </c:pt>
                <c:pt idx="115">
                  <c:v>11.036888265350401</c:v>
                </c:pt>
                <c:pt idx="116">
                  <c:v>16.973646450055899</c:v>
                </c:pt>
                <c:pt idx="117">
                  <c:v>14.144222746189699</c:v>
                </c:pt>
                <c:pt idx="118">
                  <c:v>11.892738856796599</c:v>
                </c:pt>
                <c:pt idx="119">
                  <c:v>12.5015547122375</c:v>
                </c:pt>
                <c:pt idx="120">
                  <c:v>17.4688611490642</c:v>
                </c:pt>
                <c:pt idx="121">
                  <c:v>10.386853342420199</c:v>
                </c:pt>
                <c:pt idx="122">
                  <c:v>8.4404853769295194</c:v>
                </c:pt>
                <c:pt idx="123">
                  <c:v>14.0091743969238</c:v>
                </c:pt>
                <c:pt idx="124">
                  <c:v>9.2136375705009801</c:v>
                </c:pt>
                <c:pt idx="125">
                  <c:v>11.4008599510598</c:v>
                </c:pt>
                <c:pt idx="126">
                  <c:v>9.3822086747409905</c:v>
                </c:pt>
                <c:pt idx="127">
                  <c:v>15.2454121190033</c:v>
                </c:pt>
                <c:pt idx="128">
                  <c:v>10.2952931629716</c:v>
                </c:pt>
                <c:pt idx="129">
                  <c:v>16.156358954130202</c:v>
                </c:pt>
                <c:pt idx="130">
                  <c:v>12.4547676216532</c:v>
                </c:pt>
                <c:pt idx="131">
                  <c:v>12.6734633404504</c:v>
                </c:pt>
                <c:pt idx="132">
                  <c:v>10.821156944204599</c:v>
                </c:pt>
                <c:pt idx="133">
                  <c:v>12.731889434915599</c:v>
                </c:pt>
                <c:pt idx="134">
                  <c:v>19.824413380220101</c:v>
                </c:pt>
                <c:pt idx="135">
                  <c:v>14.8935136249032</c:v>
                </c:pt>
                <c:pt idx="136">
                  <c:v>14.556514450465301</c:v>
                </c:pt>
                <c:pt idx="137">
                  <c:v>7.7967387538806303</c:v>
                </c:pt>
                <c:pt idx="138">
                  <c:v>17.834733444183001</c:v>
                </c:pt>
                <c:pt idx="139">
                  <c:v>12.893356101163301</c:v>
                </c:pt>
                <c:pt idx="140">
                  <c:v>15.5245420357002</c:v>
                </c:pt>
                <c:pt idx="141">
                  <c:v>14.1816934026407</c:v>
                </c:pt>
                <c:pt idx="142">
                  <c:v>14.312558168005699</c:v>
                </c:pt>
                <c:pt idx="143">
                  <c:v>11.5008742795277</c:v>
                </c:pt>
                <c:pt idx="144">
                  <c:v>17.7749145544995</c:v>
                </c:pt>
                <c:pt idx="145">
                  <c:v>8.4856655975586204</c:v>
                </c:pt>
                <c:pt idx="146">
                  <c:v>14.616172435686201</c:v>
                </c:pt>
                <c:pt idx="147">
                  <c:v>19.311930955833301</c:v>
                </c:pt>
                <c:pt idx="148">
                  <c:v>10.4690054414244</c:v>
                </c:pt>
                <c:pt idx="149">
                  <c:v>13.571360952218701</c:v>
                </c:pt>
                <c:pt idx="150">
                  <c:v>12.6876475220275</c:v>
                </c:pt>
                <c:pt idx="151">
                  <c:v>13.075679821516999</c:v>
                </c:pt>
                <c:pt idx="152">
                  <c:v>13.069917525368099</c:v>
                </c:pt>
                <c:pt idx="153">
                  <c:v>10.648401876235299</c:v>
                </c:pt>
                <c:pt idx="154">
                  <c:v>14.524847575944101</c:v>
                </c:pt>
                <c:pt idx="155">
                  <c:v>11.955104180174001</c:v>
                </c:pt>
                <c:pt idx="156">
                  <c:v>13.430882486421799</c:v>
                </c:pt>
                <c:pt idx="157">
                  <c:v>15.7554837851628</c:v>
                </c:pt>
                <c:pt idx="158">
                  <c:v>10.2424594587548</c:v>
                </c:pt>
                <c:pt idx="159">
                  <c:v>15.092852559991099</c:v>
                </c:pt>
                <c:pt idx="160">
                  <c:v>13.3916188056981</c:v>
                </c:pt>
                <c:pt idx="161">
                  <c:v>12.2564172700363</c:v>
                </c:pt>
                <c:pt idx="162">
                  <c:v>19.339737602739302</c:v>
                </c:pt>
                <c:pt idx="163">
                  <c:v>13.6665978492119</c:v>
                </c:pt>
                <c:pt idx="164">
                  <c:v>12.624007623973901</c:v>
                </c:pt>
                <c:pt idx="165">
                  <c:v>14.817959939778101</c:v>
                </c:pt>
                <c:pt idx="166">
                  <c:v>10.224654640200299</c:v>
                </c:pt>
                <c:pt idx="167">
                  <c:v>15.0168645368197</c:v>
                </c:pt>
                <c:pt idx="168">
                  <c:v>13.5767790708205</c:v>
                </c:pt>
                <c:pt idx="169">
                  <c:v>18.429304238668099</c:v>
                </c:pt>
                <c:pt idx="170">
                  <c:v>14.7180100490118</c:v>
                </c:pt>
                <c:pt idx="171">
                  <c:v>18.7667016854206</c:v>
                </c:pt>
                <c:pt idx="172">
                  <c:v>17.432208229196799</c:v>
                </c:pt>
                <c:pt idx="173">
                  <c:v>17.702897190276499</c:v>
                </c:pt>
                <c:pt idx="174">
                  <c:v>11.156779864772799</c:v>
                </c:pt>
                <c:pt idx="175">
                  <c:v>8.3635787739213399</c:v>
                </c:pt>
                <c:pt idx="176">
                  <c:v>9.8859895735006003</c:v>
                </c:pt>
                <c:pt idx="177">
                  <c:v>12.1163600418553</c:v>
                </c:pt>
                <c:pt idx="178">
                  <c:v>16.1117059975738</c:v>
                </c:pt>
                <c:pt idx="179">
                  <c:v>15.4239389240936</c:v>
                </c:pt>
                <c:pt idx="180">
                  <c:v>22.449473364547899</c:v>
                </c:pt>
                <c:pt idx="181">
                  <c:v>11.867726193711301</c:v>
                </c:pt>
                <c:pt idx="182">
                  <c:v>9.2099137871603993</c:v>
                </c:pt>
                <c:pt idx="183">
                  <c:v>16.072799401406201</c:v>
                </c:pt>
                <c:pt idx="184">
                  <c:v>9.4077383272876798</c:v>
                </c:pt>
                <c:pt idx="185">
                  <c:v>15.184447880477</c:v>
                </c:pt>
                <c:pt idx="186">
                  <c:v>11.9228080798364</c:v>
                </c:pt>
                <c:pt idx="187">
                  <c:v>15.2340963673256</c:v>
                </c:pt>
                <c:pt idx="188">
                  <c:v>15.6088503269926</c:v>
                </c:pt>
                <c:pt idx="189">
                  <c:v>12.123907749162001</c:v>
                </c:pt>
                <c:pt idx="190">
                  <c:v>16.7822940768751</c:v>
                </c:pt>
                <c:pt idx="191">
                  <c:v>17.048536158812201</c:v>
                </c:pt>
                <c:pt idx="192">
                  <c:v>7.1744570572497297</c:v>
                </c:pt>
                <c:pt idx="193">
                  <c:v>14.2795616086119</c:v>
                </c:pt>
                <c:pt idx="194">
                  <c:v>5.72176080749185</c:v>
                </c:pt>
                <c:pt idx="195">
                  <c:v>17.147331277127002</c:v>
                </c:pt>
                <c:pt idx="196">
                  <c:v>13.7476077317012</c:v>
                </c:pt>
                <c:pt idx="197">
                  <c:v>18.466938431369002</c:v>
                </c:pt>
                <c:pt idx="198">
                  <c:v>7.3066140165917597</c:v>
                </c:pt>
                <c:pt idx="199">
                  <c:v>12.23218928376</c:v>
                </c:pt>
                <c:pt idx="200">
                  <c:v>14.2963938607103</c:v>
                </c:pt>
                <c:pt idx="201">
                  <c:v>7.62055875554534</c:v>
                </c:pt>
                <c:pt idx="202">
                  <c:v>18.8984904061926</c:v>
                </c:pt>
                <c:pt idx="203">
                  <c:v>17.270273847432499</c:v>
                </c:pt>
                <c:pt idx="204">
                  <c:v>13.4484509060946</c:v>
                </c:pt>
                <c:pt idx="205">
                  <c:v>12.972375441235</c:v>
                </c:pt>
                <c:pt idx="206">
                  <c:v>11.595320719803</c:v>
                </c:pt>
                <c:pt idx="207">
                  <c:v>9.1696915503658101</c:v>
                </c:pt>
                <c:pt idx="208">
                  <c:v>16.448336738348701</c:v>
                </c:pt>
                <c:pt idx="209">
                  <c:v>18.591826771958999</c:v>
                </c:pt>
                <c:pt idx="210">
                  <c:v>11.1577807629894</c:v>
                </c:pt>
                <c:pt idx="211">
                  <c:v>13.9728352989555</c:v>
                </c:pt>
                <c:pt idx="212">
                  <c:v>12.589640475675401</c:v>
                </c:pt>
                <c:pt idx="213">
                  <c:v>14.3716586072818</c:v>
                </c:pt>
                <c:pt idx="214">
                  <c:v>16.170774142705099</c:v>
                </c:pt>
                <c:pt idx="215">
                  <c:v>15.1994789621463</c:v>
                </c:pt>
                <c:pt idx="216">
                  <c:v>8.6501852095679403</c:v>
                </c:pt>
                <c:pt idx="217">
                  <c:v>14.6698748833244</c:v>
                </c:pt>
                <c:pt idx="218">
                  <c:v>8.7653389998218803</c:v>
                </c:pt>
                <c:pt idx="219">
                  <c:v>8.3133680659232692</c:v>
                </c:pt>
                <c:pt idx="220">
                  <c:v>12.956919972586199</c:v>
                </c:pt>
                <c:pt idx="221">
                  <c:v>11.553318371481801</c:v>
                </c:pt>
                <c:pt idx="222">
                  <c:v>12.7151451524128</c:v>
                </c:pt>
                <c:pt idx="223">
                  <c:v>15.6210988459333</c:v>
                </c:pt>
                <c:pt idx="224">
                  <c:v>14.052133215763901</c:v>
                </c:pt>
                <c:pt idx="225">
                  <c:v>11.5900820369129</c:v>
                </c:pt>
                <c:pt idx="226">
                  <c:v>3.0052545539187698</c:v>
                </c:pt>
                <c:pt idx="227">
                  <c:v>11.1363910505715</c:v>
                </c:pt>
                <c:pt idx="228">
                  <c:v>15.3530776334841</c:v>
                </c:pt>
                <c:pt idx="229">
                  <c:v>17.623771690471798</c:v>
                </c:pt>
                <c:pt idx="230">
                  <c:v>14.824961768667601</c:v>
                </c:pt>
                <c:pt idx="231">
                  <c:v>12.741144868290601</c:v>
                </c:pt>
                <c:pt idx="232">
                  <c:v>11.5909038018345</c:v>
                </c:pt>
                <c:pt idx="233">
                  <c:v>15.957554632655601</c:v>
                </c:pt>
                <c:pt idx="234">
                  <c:v>11.8915837815305</c:v>
                </c:pt>
                <c:pt idx="235">
                  <c:v>14.1054861306371</c:v>
                </c:pt>
                <c:pt idx="236">
                  <c:v>16.4087110153997</c:v>
                </c:pt>
                <c:pt idx="237">
                  <c:v>15.605534886812499</c:v>
                </c:pt>
                <c:pt idx="238">
                  <c:v>12.411071353032201</c:v>
                </c:pt>
                <c:pt idx="239">
                  <c:v>15.780962394058299</c:v>
                </c:pt>
                <c:pt idx="240">
                  <c:v>12.920992290964399</c:v>
                </c:pt>
                <c:pt idx="241">
                  <c:v>15.1119298969961</c:v>
                </c:pt>
                <c:pt idx="242">
                  <c:v>17.139588115991899</c:v>
                </c:pt>
                <c:pt idx="243">
                  <c:v>18.0770219359195</c:v>
                </c:pt>
                <c:pt idx="244">
                  <c:v>13.2050015428806</c:v>
                </c:pt>
                <c:pt idx="245">
                  <c:v>16.410498769703398</c:v>
                </c:pt>
                <c:pt idx="246">
                  <c:v>9.9863709284476005</c:v>
                </c:pt>
                <c:pt idx="247">
                  <c:v>10.278096125239299</c:v>
                </c:pt>
                <c:pt idx="248">
                  <c:v>11.1144950261529</c:v>
                </c:pt>
                <c:pt idx="249">
                  <c:v>15.524733249273201</c:v>
                </c:pt>
                <c:pt idx="250">
                  <c:v>17.3399006534267</c:v>
                </c:pt>
                <c:pt idx="251">
                  <c:v>13.6896255937794</c:v>
                </c:pt>
                <c:pt idx="252">
                  <c:v>17.547493797688201</c:v>
                </c:pt>
                <c:pt idx="253">
                  <c:v>13.933968741826799</c:v>
                </c:pt>
                <c:pt idx="254">
                  <c:v>15.045733601965001</c:v>
                </c:pt>
                <c:pt idx="255">
                  <c:v>8.1179702546868704</c:v>
                </c:pt>
                <c:pt idx="256">
                  <c:v>10.371355750410499</c:v>
                </c:pt>
                <c:pt idx="257">
                  <c:v>17.008002809339899</c:v>
                </c:pt>
                <c:pt idx="258">
                  <c:v>12.3219200052316</c:v>
                </c:pt>
                <c:pt idx="259">
                  <c:v>11.623326681796099</c:v>
                </c:pt>
                <c:pt idx="260">
                  <c:v>16.136270958977299</c:v>
                </c:pt>
                <c:pt idx="261">
                  <c:v>13.1512748022029</c:v>
                </c:pt>
                <c:pt idx="262">
                  <c:v>17.243524077586098</c:v>
                </c:pt>
                <c:pt idx="263">
                  <c:v>10.1161532668758</c:v>
                </c:pt>
                <c:pt idx="264">
                  <c:v>15.3460638391181</c:v>
                </c:pt>
                <c:pt idx="265">
                  <c:v>14.694386285092</c:v>
                </c:pt>
                <c:pt idx="266">
                  <c:v>15.4439708080715</c:v>
                </c:pt>
                <c:pt idx="267">
                  <c:v>12.9490594718488</c:v>
                </c:pt>
                <c:pt idx="268">
                  <c:v>12.583185708851101</c:v>
                </c:pt>
                <c:pt idx="269">
                  <c:v>18.885335667289201</c:v>
                </c:pt>
                <c:pt idx="270">
                  <c:v>14.106328648840501</c:v>
                </c:pt>
                <c:pt idx="271">
                  <c:v>8.8369622790466007</c:v>
                </c:pt>
                <c:pt idx="272">
                  <c:v>14.952725486722001</c:v>
                </c:pt>
                <c:pt idx="273">
                  <c:v>14.476589567222501</c:v>
                </c:pt>
                <c:pt idx="274">
                  <c:v>9.1898445612457191</c:v>
                </c:pt>
                <c:pt idx="275">
                  <c:v>15.9680657213444</c:v>
                </c:pt>
                <c:pt idx="276">
                  <c:v>14.4222672389342</c:v>
                </c:pt>
                <c:pt idx="277">
                  <c:v>15.1460960538134</c:v>
                </c:pt>
                <c:pt idx="278">
                  <c:v>15.0727305421733</c:v>
                </c:pt>
                <c:pt idx="279">
                  <c:v>13.475575098213501</c:v>
                </c:pt>
                <c:pt idx="280">
                  <c:v>12.2775744273328</c:v>
                </c:pt>
                <c:pt idx="281">
                  <c:v>10.121563158584101</c:v>
                </c:pt>
                <c:pt idx="282">
                  <c:v>14.9631448319368</c:v>
                </c:pt>
                <c:pt idx="283">
                  <c:v>18.042734693664901</c:v>
                </c:pt>
                <c:pt idx="284">
                  <c:v>7.2920266539287502</c:v>
                </c:pt>
                <c:pt idx="285">
                  <c:v>12.38286670938</c:v>
                </c:pt>
                <c:pt idx="286">
                  <c:v>13.157098775687199</c:v>
                </c:pt>
                <c:pt idx="287">
                  <c:v>13.693274630996701</c:v>
                </c:pt>
                <c:pt idx="288">
                  <c:v>16.519262814544899</c:v>
                </c:pt>
                <c:pt idx="289">
                  <c:v>16.679256566181699</c:v>
                </c:pt>
                <c:pt idx="290">
                  <c:v>13.451956657493801</c:v>
                </c:pt>
                <c:pt idx="291">
                  <c:v>18.587890424085501</c:v>
                </c:pt>
                <c:pt idx="292">
                  <c:v>15.587223724541101</c:v>
                </c:pt>
                <c:pt idx="293">
                  <c:v>11.2637583530274</c:v>
                </c:pt>
                <c:pt idx="294">
                  <c:v>16.7286951298079</c:v>
                </c:pt>
                <c:pt idx="295">
                  <c:v>11.166486248239099</c:v>
                </c:pt>
                <c:pt idx="296">
                  <c:v>15.1601436632673</c:v>
                </c:pt>
                <c:pt idx="297">
                  <c:v>17.474562880150899</c:v>
                </c:pt>
                <c:pt idx="298">
                  <c:v>14.4915402603456</c:v>
                </c:pt>
                <c:pt idx="299">
                  <c:v>15.7541505834115</c:v>
                </c:pt>
                <c:pt idx="300">
                  <c:v>11.1569140596085</c:v>
                </c:pt>
                <c:pt idx="301">
                  <c:v>11.1615037553041</c:v>
                </c:pt>
                <c:pt idx="302">
                  <c:v>12.3924749511204</c:v>
                </c:pt>
                <c:pt idx="303">
                  <c:v>13.240570585719601</c:v>
                </c:pt>
                <c:pt idx="304">
                  <c:v>13.886616466739801</c:v>
                </c:pt>
                <c:pt idx="305">
                  <c:v>14.4667673951854</c:v>
                </c:pt>
                <c:pt idx="306">
                  <c:v>13.1674539797813</c:v>
                </c:pt>
                <c:pt idx="307">
                  <c:v>16.856043716951898</c:v>
                </c:pt>
                <c:pt idx="308">
                  <c:v>13.316822807974001</c:v>
                </c:pt>
                <c:pt idx="309">
                  <c:v>11.012378368812101</c:v>
                </c:pt>
                <c:pt idx="310">
                  <c:v>10.017001080165899</c:v>
                </c:pt>
                <c:pt idx="311">
                  <c:v>18.738651022415802</c:v>
                </c:pt>
                <c:pt idx="312">
                  <c:v>12.668379203789</c:v>
                </c:pt>
                <c:pt idx="313">
                  <c:v>14.898181097920199</c:v>
                </c:pt>
                <c:pt idx="314">
                  <c:v>10.512733764444899</c:v>
                </c:pt>
                <c:pt idx="315">
                  <c:v>11.280425724683999</c:v>
                </c:pt>
                <c:pt idx="316">
                  <c:v>16.702963772782201</c:v>
                </c:pt>
                <c:pt idx="317">
                  <c:v>14.933722650571999</c:v>
                </c:pt>
                <c:pt idx="318">
                  <c:v>11.5686776944464</c:v>
                </c:pt>
                <c:pt idx="319">
                  <c:v>11.935721789272501</c:v>
                </c:pt>
                <c:pt idx="320">
                  <c:v>18.852906084073599</c:v>
                </c:pt>
                <c:pt idx="321">
                  <c:v>8.8093833328945603</c:v>
                </c:pt>
                <c:pt idx="322">
                  <c:v>7.9605922127176099</c:v>
                </c:pt>
                <c:pt idx="323">
                  <c:v>14.130040194724501</c:v>
                </c:pt>
                <c:pt idx="324">
                  <c:v>9.8675247867703</c:v>
                </c:pt>
                <c:pt idx="325">
                  <c:v>12.535489086078099</c:v>
                </c:pt>
                <c:pt idx="326">
                  <c:v>10.534392134405</c:v>
                </c:pt>
                <c:pt idx="327">
                  <c:v>15.4550598500935</c:v>
                </c:pt>
                <c:pt idx="328">
                  <c:v>9.7356556355500494</c:v>
                </c:pt>
                <c:pt idx="329">
                  <c:v>16.2445672839217</c:v>
                </c:pt>
                <c:pt idx="330">
                  <c:v>12.1448445790774</c:v>
                </c:pt>
                <c:pt idx="331">
                  <c:v>13.151666439708199</c:v>
                </c:pt>
                <c:pt idx="332">
                  <c:v>11.1531897322578</c:v>
                </c:pt>
                <c:pt idx="333">
                  <c:v>12.3877922517828</c:v>
                </c:pt>
                <c:pt idx="334">
                  <c:v>21.001107601809601</c:v>
                </c:pt>
                <c:pt idx="335">
                  <c:v>15.191152792670801</c:v>
                </c:pt>
                <c:pt idx="336">
                  <c:v>15.3380246201838</c:v>
                </c:pt>
                <c:pt idx="337">
                  <c:v>8.7538113236033706</c:v>
                </c:pt>
                <c:pt idx="338">
                  <c:v>18.296160588856701</c:v>
                </c:pt>
                <c:pt idx="339">
                  <c:v>14.0072394553422</c:v>
                </c:pt>
                <c:pt idx="340">
                  <c:v>13.650945595322501</c:v>
                </c:pt>
                <c:pt idx="341">
                  <c:v>14.076784324186001</c:v>
                </c:pt>
                <c:pt idx="342">
                  <c:v>13.504322239078</c:v>
                </c:pt>
                <c:pt idx="343">
                  <c:v>10.510039980214801</c:v>
                </c:pt>
                <c:pt idx="344">
                  <c:v>19.867427018916999</c:v>
                </c:pt>
                <c:pt idx="345">
                  <c:v>8.5354716071805203</c:v>
                </c:pt>
                <c:pt idx="346">
                  <c:v>14.3429586817938</c:v>
                </c:pt>
                <c:pt idx="347">
                  <c:v>18.925294673416101</c:v>
                </c:pt>
                <c:pt idx="348">
                  <c:v>9.7811408679701408</c:v>
                </c:pt>
                <c:pt idx="349">
                  <c:v>13.009487815126</c:v>
                </c:pt>
                <c:pt idx="350">
                  <c:v>11.9807713985189</c:v>
                </c:pt>
                <c:pt idx="351">
                  <c:v>12.238474662360099</c:v>
                </c:pt>
                <c:pt idx="352">
                  <c:v>11.5693588051221</c:v>
                </c:pt>
                <c:pt idx="353">
                  <c:v>11.2078565435499</c:v>
                </c:pt>
                <c:pt idx="354">
                  <c:v>13.6239464903091</c:v>
                </c:pt>
                <c:pt idx="355">
                  <c:v>14.086085501845901</c:v>
                </c:pt>
                <c:pt idx="356">
                  <c:v>14.1175293738891</c:v>
                </c:pt>
                <c:pt idx="357">
                  <c:v>16.1876598032229</c:v>
                </c:pt>
                <c:pt idx="358">
                  <c:v>9.3654925129631099</c:v>
                </c:pt>
                <c:pt idx="359">
                  <c:v>15.877758612151601</c:v>
                </c:pt>
                <c:pt idx="360">
                  <c:v>12.785829927504199</c:v>
                </c:pt>
                <c:pt idx="361">
                  <c:v>10.889043581236299</c:v>
                </c:pt>
                <c:pt idx="362">
                  <c:v>20.522009487125299</c:v>
                </c:pt>
                <c:pt idx="363">
                  <c:v>13.8275723919222</c:v>
                </c:pt>
                <c:pt idx="364">
                  <c:v>12.587649206859099</c:v>
                </c:pt>
                <c:pt idx="365">
                  <c:v>14.6113892033051</c:v>
                </c:pt>
                <c:pt idx="366">
                  <c:v>11.6268498714769</c:v>
                </c:pt>
                <c:pt idx="367">
                  <c:v>16.962085399406799</c:v>
                </c:pt>
                <c:pt idx="368">
                  <c:v>14.447456475087201</c:v>
                </c:pt>
                <c:pt idx="369">
                  <c:v>19.944077668094899</c:v>
                </c:pt>
                <c:pt idx="370">
                  <c:v>15.2005435383979</c:v>
                </c:pt>
                <c:pt idx="371">
                  <c:v>17.199468823701899</c:v>
                </c:pt>
                <c:pt idx="372">
                  <c:v>17.646044484900798</c:v>
                </c:pt>
                <c:pt idx="373">
                  <c:v>18.537055675181399</c:v>
                </c:pt>
                <c:pt idx="374">
                  <c:v>11.0114629314964</c:v>
                </c:pt>
                <c:pt idx="375">
                  <c:v>8.8122161863035409</c:v>
                </c:pt>
                <c:pt idx="376">
                  <c:v>9.2120633597471908</c:v>
                </c:pt>
                <c:pt idx="377">
                  <c:v>11.403491361248401</c:v>
                </c:pt>
                <c:pt idx="378">
                  <c:v>17.094612969249699</c:v>
                </c:pt>
                <c:pt idx="379">
                  <c:v>15.057781562134201</c:v>
                </c:pt>
                <c:pt idx="380">
                  <c:v>22.336916579955101</c:v>
                </c:pt>
                <c:pt idx="381">
                  <c:v>11.2236866823448</c:v>
                </c:pt>
                <c:pt idx="382">
                  <c:v>9.0331049765901703</c:v>
                </c:pt>
                <c:pt idx="383">
                  <c:v>14.910724422641801</c:v>
                </c:pt>
                <c:pt idx="384">
                  <c:v>9.6722852622984608</c:v>
                </c:pt>
                <c:pt idx="385">
                  <c:v>15.767239977955001</c:v>
                </c:pt>
                <c:pt idx="386">
                  <c:v>12.828106217698799</c:v>
                </c:pt>
                <c:pt idx="387">
                  <c:v>16.150413481410801</c:v>
                </c:pt>
                <c:pt idx="388">
                  <c:v>14.978499257390601</c:v>
                </c:pt>
                <c:pt idx="389">
                  <c:v>11.560493773837001</c:v>
                </c:pt>
                <c:pt idx="390">
                  <c:v>17.032930464214299</c:v>
                </c:pt>
                <c:pt idx="391">
                  <c:v>17.528277752562001</c:v>
                </c:pt>
                <c:pt idx="392">
                  <c:v>7.0292763652640202</c:v>
                </c:pt>
                <c:pt idx="393">
                  <c:v>13.152274131836799</c:v>
                </c:pt>
                <c:pt idx="394">
                  <c:v>4.2387432682255399</c:v>
                </c:pt>
                <c:pt idx="395">
                  <c:v>18.241549753658301</c:v>
                </c:pt>
                <c:pt idx="396">
                  <c:v>13.9088315787069</c:v>
                </c:pt>
                <c:pt idx="397">
                  <c:v>19.629123520577402</c:v>
                </c:pt>
                <c:pt idx="398">
                  <c:v>7.6374421619363604</c:v>
                </c:pt>
                <c:pt idx="399">
                  <c:v>11.9889082362756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ED-4FEF-8FFE-48D9B6563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192175"/>
        <c:axId val="1331562639"/>
      </c:scatterChart>
      <c:valAx>
        <c:axId val="141119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Tamaño de DB (GB)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331562639"/>
        <c:crosses val="autoZero"/>
        <c:crossBetween val="midCat"/>
      </c:valAx>
      <c:valAx>
        <c:axId val="133156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Tiempo (Horas)</a:t>
                </a:r>
                <a:endParaRPr lang="es-PA" sz="1000" b="0" i="0" u="none" strike="noStrike" kern="1200" spc="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41119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de Procesamiento (Horas)</a:t>
            </a:r>
          </a:p>
          <a:p>
            <a:pPr algn="ctr">
              <a:defRPr/>
            </a:pPr>
            <a:r>
              <a:rPr lang="en-US"/>
              <a:t> vs</a:t>
            </a:r>
          </a:p>
          <a:p>
            <a:pPr algn="ctr">
              <a:defRPr/>
            </a:pPr>
            <a:r>
              <a:rPr lang="en-US"/>
              <a:t> Tamaño</a:t>
            </a:r>
            <a:r>
              <a:rPr lang="en-US" baseline="0"/>
              <a:t> de DB(GB)	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'[2]Regresion Lineal Simple'!$B$2</c:f>
              <c:strCache>
                <c:ptCount val="1"/>
                <c:pt idx="0">
                  <c:v>Tiempo de Procesamiento (Horas)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4696194225721791E-2"/>
                  <c:y val="-0.126088509769612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strRef>
              <c:f>'[2]Regresion Lineal Simple'!$A$3:$A$402</c:f>
              <c:strCache>
                <c:ptCount val="400"/>
                <c:pt idx="0">
                  <c:v>18.2483570765056</c:v>
                </c:pt>
                <c:pt idx="1">
                  <c:v>9.93086784941441</c:v>
                </c:pt>
                <c:pt idx="2">
                  <c:v>16.3238442690504</c:v>
                </c:pt>
                <c:pt idx="3">
                  <c:v>19.761514928204</c:v>
                </c:pt>
                <c:pt idx="4">
                  <c:v>10.8829233126383</c:v>
                </c:pt>
                <c:pt idx="5">
                  <c:v>12.8829315215254</c:v>
                </c:pt>
                <c:pt idx="6">
                  <c:v>14.7896064077537</c:v>
                </c:pt>
                <c:pt idx="7">
                  <c:v>16.3837173645765</c:v>
                </c:pt>
                <c:pt idx="8">
                  <c:v>11.7652628070325</c:v>
                </c:pt>
                <c:pt idx="9">
                  <c:v>14.271280021793</c:v>
                </c:pt>
                <c:pt idx="10">
                  <c:v>10.7682911535938</c:v>
                </c:pt>
                <c:pt idx="11">
                  <c:v>15.7671351232149</c:v>
                </c:pt>
                <c:pt idx="12">
                  <c:v>16.120981135783</c:v>
                </c:pt>
                <c:pt idx="13">
                  <c:v>12.0433598776711</c:v>
                </c:pt>
                <c:pt idx="14">
                  <c:v>16.1375410837435</c:v>
                </c:pt>
                <c:pt idx="15">
                  <c:v>9.71885623537951</c:v>
                </c:pt>
                <c:pt idx="16">
                  <c:v>11.4935844398328</c:v>
                </c:pt>
                <c:pt idx="17">
                  <c:v>13.1571236662976</c:v>
                </c:pt>
                <c:pt idx="18">
                  <c:v>14.5459879622394</c:v>
                </c:pt>
                <c:pt idx="19">
                  <c:v>8.29384814933236</c:v>
                </c:pt>
                <c:pt idx="20">
                  <c:v>6.73282438446078</c:v>
                </c:pt>
                <c:pt idx="21">
                  <c:v>13.8871118497567</c:v>
                </c:pt>
                <c:pt idx="22">
                  <c:v>19.033764102344</c:v>
                </c:pt>
                <c:pt idx="23">
                  <c:v>11.2876259068933</c:v>
                </c:pt>
                <c:pt idx="24">
                  <c:v>9.72780863773741</c:v>
                </c:pt>
                <c:pt idx="25">
                  <c:v>18.0554612948549</c:v>
                </c:pt>
                <c:pt idx="26">
                  <c:v>16.4245032112889</c:v>
                </c:pt>
                <c:pt idx="27">
                  <c:v>18.1878490091728</c:v>
                </c:pt>
                <c:pt idx="28">
                  <c:v>12.6996806550406</c:v>
                </c:pt>
                <c:pt idx="29">
                  <c:v>19.8541531251034</c:v>
                </c:pt>
                <c:pt idx="30">
                  <c:v>12.6991466938853</c:v>
                </c:pt>
                <c:pt idx="31">
                  <c:v>13.9261390922545</c:v>
                </c:pt>
                <c:pt idx="32">
                  <c:v>17.993251387631</c:v>
                </c:pt>
                <c:pt idx="33">
                  <c:v>20.4711445355221</c:v>
                </c:pt>
                <c:pt idx="34">
                  <c:v>10.4112724560516</c:v>
                </c:pt>
                <c:pt idx="35">
                  <c:v>17.3895781750145</c:v>
                </c:pt>
                <c:pt idx="36">
                  <c:v>18.1044317975024</c:v>
                </c:pt>
                <c:pt idx="37">
                  <c:v>14.0201649380601</c:v>
                </c:pt>
                <c:pt idx="38">
                  <c:v>12.3359069755508</c:v>
                </c:pt>
                <c:pt idx="39">
                  <c:v>21.0984306179346</c:v>
                </c:pt>
                <c:pt idx="40">
                  <c:v>14.3692332899977</c:v>
                </c:pt>
                <c:pt idx="41">
                  <c:v>12.085684140595</c:v>
                </c:pt>
                <c:pt idx="42">
                  <c:v>11.9421758588059</c:v>
                </c:pt>
                <c:pt idx="43">
                  <c:v>21.8494481522054</c:v>
                </c:pt>
                <c:pt idx="44">
                  <c:v>18.2607390048163</c:v>
                </c:pt>
                <c:pt idx="45">
                  <c:v>20.6400778958026</c:v>
                </c:pt>
                <c:pt idx="46">
                  <c:v>12.7696806145201</c:v>
                </c:pt>
                <c:pt idx="47">
                  <c:v>12.5285611131095</c:v>
                </c:pt>
                <c:pt idx="48">
                  <c:v>14.1718091447842</c:v>
                </c:pt>
                <c:pt idx="49">
                  <c:v>9.11847992231863</c:v>
                </c:pt>
                <c:pt idx="50">
                  <c:v>23.1620419846974</c:v>
                </c:pt>
                <c:pt idx="51">
                  <c:v>14.8074588597918</c:v>
                </c:pt>
                <c:pt idx="52">
                  <c:v>24.661538999847</c:v>
                </c:pt>
                <c:pt idx="53">
                  <c:v>15.3058381444204</c:v>
                </c:pt>
                <c:pt idx="54">
                  <c:v>12.515499761248</c:v>
                </c:pt>
                <c:pt idx="55">
                  <c:v>16.4656400595581</c:v>
                </c:pt>
                <c:pt idx="56">
                  <c:v>6.58039123838868</c:v>
                </c:pt>
                <c:pt idx="57">
                  <c:v>20.8453938120744</c:v>
                </c:pt>
                <c:pt idx="58">
                  <c:v>10.1656317157018</c:v>
                </c:pt>
                <c:pt idx="59">
                  <c:v>17.4877725635612</c:v>
                </c:pt>
                <c:pt idx="60">
                  <c:v>11.7604128810774</c:v>
                </c:pt>
                <c:pt idx="61">
                  <c:v>12.9071705116681</c:v>
                </c:pt>
                <c:pt idx="62">
                  <c:v>16.446832512997</c:v>
                </c:pt>
                <c:pt idx="63">
                  <c:v>8.40189668795967</c:v>
                </c:pt>
                <c:pt idx="64">
                  <c:v>13.4062629111971</c:v>
                </c:pt>
                <c:pt idx="65">
                  <c:v>17.6781200142854</c:v>
                </c:pt>
                <c:pt idx="66">
                  <c:v>14.9639949392098</c:v>
                </c:pt>
                <c:pt idx="67">
                  <c:v>17.501766448946</c:v>
                </c:pt>
                <c:pt idx="68">
                  <c:v>17.1808180125238</c:v>
                </c:pt>
                <c:pt idx="69">
                  <c:v>21.6774401226974</c:v>
                </c:pt>
                <c:pt idx="70">
                  <c:v>13.1806978027542</c:v>
                </c:pt>
                <c:pt idx="71">
                  <c:v>12.769018283233</c:v>
                </c:pt>
                <c:pt idx="72">
                  <c:v>18.982086980445</c:v>
                </c:pt>
                <c:pt idx="73">
                  <c:v>15.782321827907</c:v>
                </c:pt>
                <c:pt idx="74">
                  <c:v>19.6901274479551</c:v>
                </c:pt>
                <c:pt idx="75">
                  <c:v>13.4109512521876</c:v>
                </c:pt>
                <c:pt idx="76">
                  <c:v>17.0435235341191</c:v>
                </c:pt>
                <c:pt idx="77">
                  <c:v>15.8504963247671</c:v>
                </c:pt>
                <c:pt idx="78">
                  <c:v>9.04588038826775</c:v>
                </c:pt>
                <c:pt idx="79">
                  <c:v>14.0062155426996</c:v>
                </c:pt>
                <c:pt idx="80">
                  <c:v>16.8901640560812</c:v>
                </c:pt>
                <c:pt idx="81">
                  <c:v>18.1785562857559</c:v>
                </c:pt>
                <c:pt idx="82">
                  <c:v>13.7389470223708</c:v>
                </c:pt>
                <c:pt idx="83">
                  <c:v>16.7408648908632</c:v>
                </c:pt>
                <c:pt idx="84">
                  <c:v>8.59575319855341</c:v>
                </c:pt>
                <c:pt idx="85">
                  <c:v>11.7491214782077</c:v>
                </c:pt>
                <c:pt idx="86">
                  <c:v>21.457701058851</c:v>
                </c:pt>
                <c:pt idx="87">
                  <c:v>19.1643755548298</c:v>
                </c:pt>
                <c:pt idx="88">
                  <c:v>15.7351198981165</c:v>
                </c:pt>
                <c:pt idx="89">
                  <c:v>11.2566337165567</c:v>
                </c:pt>
                <c:pt idx="90">
                  <c:v>12.048538774674</c:v>
                </c:pt>
                <c:pt idx="91">
                  <c:v>17.4843224952664</c:v>
                </c:pt>
                <c:pt idx="92">
                  <c:v>20.6489734530613</c:v>
                </c:pt>
                <c:pt idx="93">
                  <c:v>11.8361689267011</c:v>
                </c:pt>
                <c:pt idx="94">
                  <c:v>19.8039459234339</c:v>
                </c:pt>
                <c:pt idx="95">
                  <c:v>10.2682425259339</c:v>
                </c:pt>
                <c:pt idx="96">
                  <c:v>22.1480601385323</c:v>
                </c:pt>
                <c:pt idx="97">
                  <c:v>16.1305276360899</c:v>
                </c:pt>
                <c:pt idx="98">
                  <c:v>10.0025567283212</c:v>
                </c:pt>
                <c:pt idx="99">
                  <c:v>19.8827064333124</c:v>
                </c:pt>
                <c:pt idx="100">
                  <c:v>16.2923146289748</c:v>
                </c:pt>
                <c:pt idx="101">
                  <c:v>12.7896773386173</c:v>
                </c:pt>
                <c:pt idx="102">
                  <c:v>14.8286427417366</c:v>
                </c:pt>
                <c:pt idx="103">
                  <c:v>18.5988613653892</c:v>
                </c:pt>
                <c:pt idx="104">
                  <c:v>16.919357144167</c:v>
                </c:pt>
                <c:pt idx="105">
                  <c:v>21.2020254284073</c:v>
                </c:pt>
                <c:pt idx="106">
                  <c:v>13.9430929506053</c:v>
                </c:pt>
                <c:pt idx="107">
                  <c:v>16.0872889064159</c:v>
                </c:pt>
                <c:pt idx="108">
                  <c:v>15.1287751953614</c:v>
                </c:pt>
                <c:pt idx="109">
                  <c:v>11.9627770421169</c:v>
                </c:pt>
                <c:pt idx="110">
                  <c:v>3.04061439235048</c:v>
                </c:pt>
                <c:pt idx="111">
                  <c:v>18.9867430622754</c:v>
                </c:pt>
                <c:pt idx="112">
                  <c:v>10.0301151049705</c:v>
                </c:pt>
                <c:pt idx="113">
                  <c:v>19.2316210562426</c:v>
                </c:pt>
                <c:pt idx="114">
                  <c:v>15.9038195176094</c:v>
                </c:pt>
                <c:pt idx="115">
                  <c:v>7.15077367116681</c:v>
                </c:pt>
                <c:pt idx="116">
                  <c:v>14.9826441151474</c:v>
                </c:pt>
                <c:pt idx="117">
                  <c:v>14.4156609811902</c:v>
                </c:pt>
                <c:pt idx="118">
                  <c:v>19.5714114072575</c:v>
                </c:pt>
                <c:pt idx="119">
                  <c:v>14.3759665163434</c:v>
                </c:pt>
                <c:pt idx="120">
                  <c:v>19.3955159735215</c:v>
                </c:pt>
                <c:pt idx="121">
                  <c:v>13.5453062726026</c:v>
                </c:pt>
                <c:pt idx="122">
                  <c:v>10.701397155468</c:v>
                </c:pt>
                <c:pt idx="123">
                  <c:v>15.2990744686039</c:v>
                </c:pt>
                <c:pt idx="124">
                  <c:v>17.2934285469001</c:v>
                </c:pt>
                <c:pt idx="125">
                  <c:v>17.095227812905</c:v>
                </c:pt>
                <c:pt idx="126">
                  <c:v>13.5047318374347</c:v>
                </c:pt>
                <c:pt idx="127">
                  <c:v>12.7168511351986</c:v>
                </c:pt>
                <c:pt idx="128">
                  <c:v>6.04982568254382</c:v>
                </c:pt>
                <c:pt idx="129">
                  <c:v>14.7482621729419</c:v>
                </c:pt>
                <c:pt idx="130">
                  <c:v>14.2246682844669</c:v>
                </c:pt>
                <c:pt idx="131">
                  <c:v>11.034281487403</c:v>
                </c:pt>
                <c:pt idx="132">
                  <c:v>13.468848143137</c:v>
                </c:pt>
                <c:pt idx="133">
                  <c:v>17.2367962153176</c:v>
                </c:pt>
                <c:pt idx="134">
                  <c:v>12.5402878828831</c:v>
                </c:pt>
                <c:pt idx="135">
                  <c:v>15.7749672025088</c:v>
                </c:pt>
                <c:pt idx="136">
                  <c:v>16.6083733538319</c:v>
                </c:pt>
                <c:pt idx="137">
                  <c:v>7.83896924189716</c:v>
                </c:pt>
                <c:pt idx="138">
                  <c:v>23.4067586086848</c:v>
                </c:pt>
                <c:pt idx="139">
                  <c:v>13.384567841783</c:v>
                </c:pt>
                <c:pt idx="140">
                  <c:v>14.1137299673021</c:v>
                </c:pt>
                <c:pt idx="141">
                  <c:v>23.6535713771412</c:v>
                </c:pt>
                <c:pt idx="142">
                  <c:v>10.1962583827194</c:v>
                </c:pt>
                <c:pt idx="143">
                  <c:v>9.09231692926615</c:v>
                </c:pt>
                <c:pt idx="144">
                  <c:v>9.12994139712421</c:v>
                </c:pt>
                <c:pt idx="145">
                  <c:v>8.39091143588866</c:v>
                </c:pt>
                <c:pt idx="146">
                  <c:v>19.381524644561</c:v>
                </c:pt>
                <c:pt idx="147">
                  <c:v>18.3397716934579</c:v>
                </c:pt>
                <c:pt idx="148">
                  <c:v>16.2609707828084</c:v>
                </c:pt>
                <c:pt idx="149">
                  <c:v>12.1484923366166</c:v>
                </c:pt>
                <c:pt idx="150">
                  <c:v>13.1252464251729</c:v>
                </c:pt>
                <c:pt idx="151">
                  <c:v>13.1732241047485</c:v>
                </c:pt>
                <c:pt idx="152">
                  <c:v>19.6599876392108</c:v>
                </c:pt>
                <c:pt idx="153">
                  <c:v>18.1161268485805</c:v>
                </c:pt>
                <c:pt idx="154">
                  <c:v>15.1465362366493</c:v>
                </c:pt>
                <c:pt idx="155">
                  <c:v>12.6428242909868</c:v>
                </c:pt>
                <c:pt idx="156">
                  <c:v>14.9328872555724</c:v>
                </c:pt>
                <c:pt idx="157">
                  <c:v>21.2369164604559</c:v>
                </c:pt>
                <c:pt idx="158">
                  <c:v>12.4043482513987</c:v>
                </c:pt>
                <c:pt idx="159">
                  <c:v>24.3282768043169</c:v>
                </c:pt>
                <c:pt idx="160">
                  <c:v>15.5126591648863</c:v>
                </c:pt>
                <c:pt idx="161">
                  <c:v>12.3935423018712</c:v>
                </c:pt>
                <c:pt idx="162">
                  <c:v>17.5792977895037</c:v>
                </c:pt>
                <c:pt idx="163">
                  <c:v>8.58965884082414</c:v>
                </c:pt>
                <c:pt idx="164">
                  <c:v>7.48168806462216</c:v>
                </c:pt>
                <c:pt idx="165">
                  <c:v>14.2063904634682</c:v>
                </c:pt>
                <c:pt idx="166">
                  <c:v>13.4110300799972</c:v>
                </c:pt>
                <c:pt idx="167">
                  <c:v>10.948396491327</c:v>
                </c:pt>
                <c:pt idx="168">
                  <c:v>15.8773059419986</c:v>
                </c:pt>
                <c:pt idx="169">
                  <c:v>16.6231319178213</c:v>
                </c:pt>
                <c:pt idx="170">
                  <c:v>12.5552427851872</c:v>
                </c:pt>
                <c:pt idx="171">
                  <c:v>12.5920948575173</c:v>
                </c:pt>
                <c:pt idx="172">
                  <c:v>17.9614491452929</c:v>
                </c:pt>
                <c:pt idx="173">
                  <c:v>14.1705759874083</c:v>
                </c:pt>
                <c:pt idx="174">
                  <c:v>9.13834539966501</c:v>
                </c:pt>
                <c:pt idx="175">
                  <c:v>7.41359162451801</c:v>
                </c:pt>
                <c:pt idx="176">
                  <c:v>9.00650094593895</c:v>
                </c:pt>
                <c:pt idx="177">
                  <c:v>18.7267670385787</c:v>
                </c:pt>
                <c:pt idx="178">
                  <c:v>24.867671583381</c:v>
                </c:pt>
                <c:pt idx="179">
                  <c:v>9.36008458329481</c:v>
                </c:pt>
                <c:pt idx="180">
                  <c:v>16.3128336738825</c:v>
                </c:pt>
                <c:pt idx="181">
                  <c:v>13.5714212217919</c:v>
                </c:pt>
                <c:pt idx="182">
                  <c:v>5.46455375096944</c:v>
                </c:pt>
                <c:pt idx="183">
                  <c:v>14.2412362076216</c:v>
                </c:pt>
                <c:pt idx="184">
                  <c:v>11.8882686073371</c:v>
                </c:pt>
                <c:pt idx="185">
                  <c:v>15.3570002470461</c:v>
                </c:pt>
                <c:pt idx="186">
                  <c:v>16.2366188122868</c:v>
                </c:pt>
                <c:pt idx="187">
                  <c:v>16.9635855436716</c:v>
                </c:pt>
                <c:pt idx="188">
                  <c:v>12.5766031409658</c:v>
                </c:pt>
                <c:pt idx="189">
                  <c:v>16.2425763876571</c:v>
                </c:pt>
                <c:pt idx="190">
                  <c:v>20.7767425239665</c:v>
                </c:pt>
                <c:pt idx="191">
                  <c:v>23.4281993971617</c:v>
                </c:pt>
                <c:pt idx="192">
                  <c:v>16.1070468720651</c:v>
                </c:pt>
                <c:pt idx="193">
                  <c:v>21.377130610644</c:v>
                </c:pt>
                <c:pt idx="194">
                  <c:v>6.08659046292559</c:v>
                </c:pt>
                <c:pt idx="195">
                  <c:v>13.1926586898644</c:v>
                </c:pt>
                <c:pt idx="196">
                  <c:v>15.5580712818994</c:v>
                </c:pt>
                <c:pt idx="197">
                  <c:v>19.0768625529728</c:v>
                </c:pt>
                <c:pt idx="198">
                  <c:v>14.029104359223</c:v>
                </c:pt>
                <c:pt idx="199">
                  <c:v>19.4285148510847</c:v>
                </c:pt>
                <c:pt idx="200">
                  <c:v>18.1788936801741</c:v>
                </c:pt>
                <c:pt idx="201">
                  <c:v>10.2803922631841</c:v>
                </c:pt>
                <c:pt idx="202">
                  <c:v>16.5415256215876</c:v>
                </c:pt>
                <c:pt idx="203">
                  <c:v>19.5269010260174</c:v>
                </c:pt>
                <c:pt idx="204">
                  <c:v>10.3111653160215</c:v>
                </c:pt>
                <c:pt idx="205">
                  <c:v>12.5310874800424</c:v>
                </c:pt>
                <c:pt idx="206">
                  <c:v>14.2575176336043</c:v>
                </c:pt>
                <c:pt idx="207">
                  <c:v>16.2568929754561</c:v>
                </c:pt>
                <c:pt idx="208">
                  <c:v>12.257523843153</c:v>
                </c:pt>
                <c:pt idx="209">
                  <c:v>15.9263657453274</c:v>
                </c:pt>
                <c:pt idx="210">
                  <c:v>11.2854452553466</c:v>
                </c:pt>
                <c:pt idx="211">
                  <c:v>16.5677828200903</c:v>
                </c:pt>
                <c:pt idx="212">
                  <c:v>16.4770008817466</c:v>
                </c:pt>
                <c:pt idx="213">
                  <c:v>13.3256956256529</c:v>
                </c:pt>
                <c:pt idx="214">
                  <c:v>16.8423653776798</c:v>
                </c:pt>
                <c:pt idx="215">
                  <c:v>10.3794846102466</c:v>
                </c:pt>
                <c:pt idx="216">
                  <c:v>11.6135873927312</c:v>
                </c:pt>
                <c:pt idx="217">
                  <c:v>12.88159069663</c:v>
                </c:pt>
                <c:pt idx="218">
                  <c:v>14.7573182260855</c:v>
                </c:pt>
                <c:pt idx="219">
                  <c:v>9.04093706969316</c:v>
                </c:pt>
                <c:pt idx="220">
                  <c:v>7.15732928333675</c:v>
                </c:pt>
                <c:pt idx="221">
                  <c:v>13.0663674037041</c:v>
                </c:pt>
                <c:pt idx="222">
                  <c:v>19.3431300951873</c:v>
                </c:pt>
                <c:pt idx="223">
                  <c:v>11.1936420644052</c:v>
                </c:pt>
                <c:pt idx="224">
                  <c:v>9.76403406710528</c:v>
                </c:pt>
                <c:pt idx="225">
                  <c:v>18.5444752984837</c:v>
                </c:pt>
                <c:pt idx="226">
                  <c:v>17.0321400095477</c:v>
                </c:pt>
                <c:pt idx="227">
                  <c:v>17.4611276110354</c:v>
                </c:pt>
                <c:pt idx="228">
                  <c:v>12.64234814537</c:v>
                </c:pt>
                <c:pt idx="229">
                  <c:v>20.3397988744673</c:v>
                </c:pt>
                <c:pt idx="230">
                  <c:v>12.6348166841414</c:v>
                </c:pt>
                <c:pt idx="231">
                  <c:v>13.108229294791</c:v>
                </c:pt>
                <c:pt idx="232">
                  <c:v>18.0227859199519</c:v>
                </c:pt>
                <c:pt idx="233">
                  <c:v>20.6741998261971</c:v>
                </c:pt>
                <c:pt idx="234">
                  <c:v>11.0719720446627</c:v>
                </c:pt>
                <c:pt idx="235">
                  <c:v>18.316959511159</c:v>
                </c:pt>
                <c:pt idx="236">
                  <c:v>16.9874287066712</c:v>
                </c:pt>
                <c:pt idx="237">
                  <c:v>15.0932271573847</c:v>
                </c:pt>
                <c:pt idx="238">
                  <c:v>12.6691067676158</c:v>
                </c:pt>
                <c:pt idx="239">
                  <c:v>21.4262166673981</c:v>
                </c:pt>
                <c:pt idx="240">
                  <c:v>13.6037396307837</c:v>
                </c:pt>
                <c:pt idx="241">
                  <c:v>11.9426317792666</c:v>
                </c:pt>
                <c:pt idx="242">
                  <c:v>12.2524936394902</c:v>
                </c:pt>
                <c:pt idx="243">
                  <c:v>22.4328775970851</c:v>
                </c:pt>
                <c:pt idx="244">
                  <c:v>18.3998517964721</c:v>
                </c:pt>
                <c:pt idx="245">
                  <c:v>20.8327493820795</c:v>
                </c:pt>
                <c:pt idx="246">
                  <c:v>12.7625273444195</c:v>
                </c:pt>
                <c:pt idx="247">
                  <c:v>11.6733353837131</c:v>
                </c:pt>
                <c:pt idx="248">
                  <c:v>14.8827271201406</c:v>
                </c:pt>
                <c:pt idx="249">
                  <c:v>10.2024908554805</c:v>
                </c:pt>
                <c:pt idx="250">
                  <c:v>22.3695580228325</c:v>
                </c:pt>
                <c:pt idx="251">
                  <c:v>15.4589309735274</c:v>
                </c:pt>
                <c:pt idx="252">
                  <c:v>26.0610780985063</c:v>
                </c:pt>
                <c:pt idx="253">
                  <c:v>15.5162326302756</c:v>
                </c:pt>
                <c:pt idx="254">
                  <c:v>11.240315017023</c:v>
                </c:pt>
                <c:pt idx="255">
                  <c:v>15.7578829635669</c:v>
                </c:pt>
                <c:pt idx="256">
                  <c:v>7.63345557459331</c:v>
                </c:pt>
                <c:pt idx="257">
                  <c:v>20.6461652671906</c:v>
                </c:pt>
                <c:pt idx="258">
                  <c:v>10.2219097140731</c:v>
                </c:pt>
                <c:pt idx="259">
                  <c:v>17.3873170267147</c:v>
                </c:pt>
                <c:pt idx="260">
                  <c:v>11.536534764211</c:v>
                </c:pt>
                <c:pt idx="261">
                  <c:v>12.9702373219691</c:v>
                </c:pt>
                <c:pt idx="262">
                  <c:v>15.3793663299655</c:v>
                </c:pt>
                <c:pt idx="263">
                  <c:v>8.48780617933286</c:v>
                </c:pt>
                <c:pt idx="264">
                  <c:v>12.8737159243034</c:v>
                </c:pt>
                <c:pt idx="265">
                  <c:v>16.3761084090176</c:v>
                </c:pt>
                <c:pt idx="266">
                  <c:v>15.8162056519658</c:v>
                </c:pt>
                <c:pt idx="267">
                  <c:v>16.2849293110197</c:v>
                </c:pt>
                <c:pt idx="268">
                  <c:v>16.7799777566515</c:v>
                </c:pt>
                <c:pt idx="269">
                  <c:v>22.065370288643</c:v>
                </c:pt>
                <c:pt idx="270">
                  <c:v>13.7206366445331</c:v>
                </c:pt>
                <c:pt idx="271">
                  <c:v>11.2820689244103</c:v>
                </c:pt>
                <c:pt idx="272">
                  <c:v>19.5815818760775</c:v>
                </c:pt>
                <c:pt idx="273">
                  <c:v>15.0051165305098</c:v>
                </c:pt>
                <c:pt idx="274">
                  <c:v>20.509245674476</c:v>
                </c:pt>
                <c:pt idx="275">
                  <c:v>13.2310517371316</c:v>
                </c:pt>
                <c:pt idx="276">
                  <c:v>17.0995298477867</c:v>
                </c:pt>
                <c:pt idx="277">
                  <c:v>15.6998915614206</c:v>
                </c:pt>
                <c:pt idx="278">
                  <c:v>9.03490104249501</c:v>
                </c:pt>
                <c:pt idx="279">
                  <c:v>14.8073432015691</c:v>
                </c:pt>
                <c:pt idx="280">
                  <c:v>17.0567586726256</c:v>
                </c:pt>
                <c:pt idx="281">
                  <c:v>18.3310653372605</c:v>
                </c:pt>
                <c:pt idx="282">
                  <c:v>13.7930084080727</c:v>
                </c:pt>
                <c:pt idx="283">
                  <c:v>16.3810922505866</c:v>
                </c:pt>
                <c:pt idx="284">
                  <c:v>10.0665166873281</c:v>
                </c:pt>
                <c:pt idx="285">
                  <c:v>11.0239561002388</c:v>
                </c:pt>
                <c:pt idx="286">
                  <c:v>20.9241074524822</c:v>
                </c:pt>
                <c:pt idx="287">
                  <c:v>19.2941586032423</c:v>
                </c:pt>
                <c:pt idx="288">
                  <c:v>16.1404959338675</c:v>
                </c:pt>
                <c:pt idx="289">
                  <c:v>10.6886502400897</c:v>
                </c:pt>
                <c:pt idx="290">
                  <c:v>11.8959388748214</c:v>
                </c:pt>
                <c:pt idx="291">
                  <c:v>16.7534995326706</c:v>
                </c:pt>
                <c:pt idx="292">
                  <c:v>20.7053176215279</c:v>
                </c:pt>
                <c:pt idx="293">
                  <c:v>12.4248010485105</c:v>
                </c:pt>
                <c:pt idx="294">
                  <c:v>20.1785077429825</c:v>
                </c:pt>
                <c:pt idx="295">
                  <c:v>10.6535452023697</c:v>
                </c:pt>
                <c:pt idx="296">
                  <c:v>22.4497999377166</c:v>
                </c:pt>
                <c:pt idx="297">
                  <c:v>16.1536497604383</c:v>
                </c:pt>
                <c:pt idx="298">
                  <c:v>10.4064310594195</c:v>
                </c:pt>
                <c:pt idx="299">
                  <c:v>20.3148144209618</c:v>
                </c:pt>
                <c:pt idx="300">
                  <c:v>16.585502494539</c:v>
                </c:pt>
                <c:pt idx="301">
                  <c:v>12.7199094799015</c:v>
                </c:pt>
                <c:pt idx="302">
                  <c:v>15.3736468025616</c:v>
                </c:pt>
                <c:pt idx="303">
                  <c:v>19.3051851327167</c:v>
                </c:pt>
                <c:pt idx="304">
                  <c:v>16.9895492030179</c:v>
                </c:pt>
                <c:pt idx="305">
                  <c:v>21.0586636916544</c:v>
                </c:pt>
                <c:pt idx="306">
                  <c:v>13.6388324478942</c:v>
                </c:pt>
                <c:pt idx="307">
                  <c:v>15.7042143055821</c:v>
                </c:pt>
                <c:pt idx="308">
                  <c:v>15.273548690585</c:v>
                </c:pt>
                <c:pt idx="309">
                  <c:v>11.898903673783</c:v>
                </c:pt>
                <c:pt idx="310">
                  <c:v>3.89115939838639</c:v>
                </c:pt>
                <c:pt idx="311">
                  <c:v>19.5493884259936</c:v>
                </c:pt>
                <c:pt idx="312">
                  <c:v>10.412708174494</c:v>
                </c:pt>
                <c:pt idx="313">
                  <c:v>18.4067548180003</c:v>
                </c:pt>
                <c:pt idx="314">
                  <c:v>16.6527394035772</c:v>
                </c:pt>
                <c:pt idx="315">
                  <c:v>7.01050192081638</c:v>
                </c:pt>
                <c:pt idx="316">
                  <c:v>15.3409764856475</c:v>
                </c:pt>
                <c:pt idx="317">
                  <c:v>14.8448666217033</c:v>
                </c:pt>
                <c:pt idx="318">
                  <c:v>19.1620831762442</c:v>
                </c:pt>
                <c:pt idx="319">
                  <c:v>13.9349284728162</c:v>
                </c:pt>
                <c:pt idx="320">
                  <c:v>19.0484979824964</c:v>
                </c:pt>
                <c:pt idx="321">
                  <c:v>14.2975785127185</c:v>
                </c:pt>
                <c:pt idx="322">
                  <c:v>9.59088965838326</c:v>
                </c:pt>
                <c:pt idx="323">
                  <c:v>17.0461936378427</c:v>
                </c:pt>
                <c:pt idx="324">
                  <c:v>16.4969913092501</c:v>
                </c:pt>
                <c:pt idx="325">
                  <c:v>15.3929056936061</c:v>
                </c:pt>
                <c:pt idx="326">
                  <c:v>14.57905543675</c:v>
                </c:pt>
                <c:pt idx="327">
                  <c:v>13.3958313469815</c:v>
                </c:pt>
                <c:pt idx="328">
                  <c:v>6.31205990852608</c:v>
                </c:pt>
                <c:pt idx="329">
                  <c:v>15.3141727546321</c:v>
                </c:pt>
                <c:pt idx="330">
                  <c:v>14.9938766135765</c:v>
                </c:pt>
                <c:pt idx="331">
                  <c:v>10.5513728142571</c:v>
                </c:pt>
                <c:pt idx="332">
                  <c:v>14.0379022790969</c:v>
                </c:pt>
                <c:pt idx="333">
                  <c:v>16.6614191442439</c:v>
                </c:pt>
                <c:pt idx="334">
                  <c:v>13.4875598667089</c:v>
                </c:pt>
                <c:pt idx="335">
                  <c:v>14.9264713092489</c:v>
                </c:pt>
                <c:pt idx="336">
                  <c:v>16.5872514016037</c:v>
                </c:pt>
                <c:pt idx="337">
                  <c:v>7.8393070791735</c:v>
                </c:pt>
                <c:pt idx="338">
                  <c:v>23.2064657271378</c:v>
                </c:pt>
                <c:pt idx="339">
                  <c:v>13.718137723598</c:v>
                </c:pt>
                <c:pt idx="340">
                  <c:v>13.5888898022168</c:v>
                </c:pt>
                <c:pt idx="341">
                  <c:v>23.121843605746</c:v>
                </c:pt>
                <c:pt idx="342">
                  <c:v>11.1224832855544</c:v>
                </c:pt>
                <c:pt idx="343">
                  <c:v>8.74652841231443</c:v>
                </c:pt>
                <c:pt idx="344">
                  <c:v>8.76448084719084</c:v>
                </c:pt>
                <c:pt idx="345">
                  <c:v>8.11602496867882</c:v>
                </c:pt>
                <c:pt idx="346">
                  <c:v>19.2759578292513</c:v>
                </c:pt>
                <c:pt idx="347">
                  <c:v>18.2962681128117</c:v>
                </c:pt>
                <c:pt idx="348">
                  <c:v>15.6407778893738</c:v>
                </c:pt>
                <c:pt idx="349">
                  <c:v>11.8932764241441</c:v>
                </c:pt>
                <c:pt idx="350">
                  <c:v>13.155453782799</c:v>
                </c:pt>
                <c:pt idx="351">
                  <c:v>13.7376781084748</c:v>
                </c:pt>
                <c:pt idx="352">
                  <c:v>20.428829811601</c:v>
                </c:pt>
                <c:pt idx="353">
                  <c:v>17.9200307350183</c:v>
                </c:pt>
                <c:pt idx="354">
                  <c:v>14.9904918960487</c:v>
                </c:pt>
                <c:pt idx="355">
                  <c:v>12.4987353176811</c:v>
                </c:pt>
                <c:pt idx="356">
                  <c:v>13.9907434320038</c:v>
                </c:pt>
                <c:pt idx="357">
                  <c:v>20.8556706805399</c:v>
                </c:pt>
                <c:pt idx="358">
                  <c:v>13.161359280169</c:v>
                </c:pt>
                <c:pt idx="359">
                  <c:v>23.5863845282238</c:v>
                </c:pt>
                <c:pt idx="360">
                  <c:v>16.2596732571206</c:v>
                </c:pt>
                <c:pt idx="361">
                  <c:v>12.7663694565013</c:v>
                </c:pt>
                <c:pt idx="362">
                  <c:v>16.9456199257716</c:v>
                </c:pt>
                <c:pt idx="363">
                  <c:v>9.20085586104947</c:v>
                </c:pt>
                <c:pt idx="364">
                  <c:v>7.34507199585556</c:v>
                </c:pt>
                <c:pt idx="365">
                  <c:v>13.7993897640571</c:v>
                </c:pt>
                <c:pt idx="366">
                  <c:v>13.1120462409052</c:v>
                </c:pt>
                <c:pt idx="367">
                  <c:v>10.0062962003909</c:v>
                </c:pt>
                <c:pt idx="368">
                  <c:v>16.0488380492744</c:v>
                </c:pt>
                <c:pt idx="369">
                  <c:v>16.6134951080723</c:v>
                </c:pt>
                <c:pt idx="370">
                  <c:v>13.0122550871295</c:v>
                </c:pt>
                <c:pt idx="371">
                  <c:v>13.2489991456227</c:v>
                </c:pt>
                <c:pt idx="372">
                  <c:v>18.7255718038975</c:v>
                </c:pt>
                <c:pt idx="373">
                  <c:v>14.4796354130426</c:v>
                </c:pt>
                <c:pt idx="374">
                  <c:v>10.0765912287558</c:v>
                </c:pt>
                <c:pt idx="375">
                  <c:v>6.61632621855598</c:v>
                </c:pt>
                <c:pt idx="376">
                  <c:v>9.43616031836034</c:v>
                </c:pt>
                <c:pt idx="377">
                  <c:v>18.0916710028692</c:v>
                </c:pt>
                <c:pt idx="378">
                  <c:v>26.0949014666088</c:v>
                </c:pt>
                <c:pt idx="379">
                  <c:v>7.59585085732242</c:v>
                </c:pt>
                <c:pt idx="380">
                  <c:v>15.5801390789096</c:v>
                </c:pt>
                <c:pt idx="381">
                  <c:v>13.700303677278</c:v>
                </c:pt>
                <c:pt idx="382">
                  <c:v>4.9380521378451</c:v>
                </c:pt>
                <c:pt idx="383">
                  <c:v>13.7371224891596</c:v>
                </c:pt>
                <c:pt idx="384">
                  <c:v>11.6204336692232</c:v>
                </c:pt>
                <c:pt idx="385">
                  <c:v>15.0751968932381</c:v>
                </c:pt>
                <c:pt idx="386">
                  <c:v>16.1708779878886</c:v>
                </c:pt>
                <c:pt idx="387">
                  <c:v>17.9380854196079</c:v>
                </c:pt>
                <c:pt idx="388">
                  <c:v>13.475211919093</c:v>
                </c:pt>
                <c:pt idx="389">
                  <c:v>16.7115481721688</c:v>
                </c:pt>
                <c:pt idx="390">
                  <c:v>20.5507926643258</c:v>
                </c:pt>
                <c:pt idx="391">
                  <c:v>23.2459595857533</c:v>
                </c:pt>
                <c:pt idx="392">
                  <c:v>15.3398833964897</c:v>
                </c:pt>
                <c:pt idx="393">
                  <c:v>22.9157293829272</c:v>
                </c:pt>
                <c:pt idx="394">
                  <c:v>6.58972006036064</c:v>
                </c:pt>
                <c:pt idx="395">
                  <c:v>12.7654121739477</c:v>
                </c:pt>
                <c:pt idx="396">
                  <c:v>15.1434327354546</c:v>
                </c:pt>
                <c:pt idx="397">
                  <c:v>19.6769361870827</c:v>
                </c:pt>
                <c:pt idx="398">
                  <c:v>13.9427300773737</c:v>
                </c:pt>
                <c:pt idx="399">
                  <c:v>20.6189081559867</c:v>
                </c:pt>
              </c:strCache>
            </c:strRef>
          </c:xVal>
          <c:yVal>
            <c:numRef>
              <c:f>'[2]Regresion Lineal Simple'!$B$3:$B$402</c:f>
              <c:numCache>
                <c:formatCode>General</c:formatCode>
                <c:ptCount val="400"/>
                <c:pt idx="0">
                  <c:v>12.65040246790244</c:v>
                </c:pt>
                <c:pt idx="1">
                  <c:v>7.8465119664020389</c:v>
                </c:pt>
                <c:pt idx="2">
                  <c:v>18.293436851921332</c:v>
                </c:pt>
                <c:pt idx="3">
                  <c:v>16.354213761904319</c:v>
                </c:pt>
                <c:pt idx="4">
                  <c:v>12.844000643802531</c:v>
                </c:pt>
                <c:pt idx="5">
                  <c:v>12.09461332508755</c:v>
                </c:pt>
                <c:pt idx="6">
                  <c:v>11.389638858607681</c:v>
                </c:pt>
                <c:pt idx="7">
                  <c:v>9.9412842031688946</c:v>
                </c:pt>
                <c:pt idx="8">
                  <c:v>17.777647854780032</c:v>
                </c:pt>
                <c:pt idx="9">
                  <c:v>17.904702937757719</c:v>
                </c:pt>
                <c:pt idx="10">
                  <c:v>11.19785521820382</c:v>
                </c:pt>
                <c:pt idx="11">
                  <c:v>13.224495104306291</c:v>
                </c:pt>
                <c:pt idx="12">
                  <c:v>11.319782517736559</c:v>
                </c:pt>
                <c:pt idx="13">
                  <c:v>16.053874715719651</c:v>
                </c:pt>
                <c:pt idx="14">
                  <c:v>14.691367565359011</c:v>
                </c:pt>
                <c:pt idx="15">
                  <c:v>14.585083559174009</c:v>
                </c:pt>
                <c:pt idx="16">
                  <c:v>9.6594152362102754</c:v>
                </c:pt>
                <c:pt idx="17">
                  <c:v>14.2428104906003</c:v>
                </c:pt>
                <c:pt idx="18">
                  <c:v>9.2541405664508591</c:v>
                </c:pt>
                <c:pt idx="19">
                  <c:v>8.2039121859149571</c:v>
                </c:pt>
                <c:pt idx="20">
                  <c:v>14.952775638815289</c:v>
                </c:pt>
                <c:pt idx="21">
                  <c:v>12.45202911119684</c:v>
                </c:pt>
                <c:pt idx="22">
                  <c:v>11.223453100944949</c:v>
                </c:pt>
                <c:pt idx="23">
                  <c:v>15.35940447929285</c:v>
                </c:pt>
                <c:pt idx="24">
                  <c:v>13.3886657418259</c:v>
                </c:pt>
                <c:pt idx="25">
                  <c:v>12.905975100687341</c:v>
                </c:pt>
                <c:pt idx="26">
                  <c:v>3.0225315056937072</c:v>
                </c:pt>
                <c:pt idx="27">
                  <c:v>11.70467791664011</c:v>
                </c:pt>
                <c:pt idx="28">
                  <c:v>16.054967335676711</c:v>
                </c:pt>
                <c:pt idx="29">
                  <c:v>15.62671998704592</c:v>
                </c:pt>
                <c:pt idx="30">
                  <c:v>15.181406050601961</c:v>
                </c:pt>
                <c:pt idx="31">
                  <c:v>10.242997120236129</c:v>
                </c:pt>
                <c:pt idx="32">
                  <c:v>11.512924546728611</c:v>
                </c:pt>
                <c:pt idx="33">
                  <c:v>16.758650960675968</c:v>
                </c:pt>
                <c:pt idx="34">
                  <c:v>13.65170678067982</c:v>
                </c:pt>
                <c:pt idx="35">
                  <c:v>15.315752147236941</c:v>
                </c:pt>
                <c:pt idx="36">
                  <c:v>16.972522488526309</c:v>
                </c:pt>
                <c:pt idx="37">
                  <c:v>14.58814128903018</c:v>
                </c:pt>
                <c:pt idx="38">
                  <c:v>12.12167627530229</c:v>
                </c:pt>
                <c:pt idx="39">
                  <c:v>16.648634145275171</c:v>
                </c:pt>
                <c:pt idx="40">
                  <c:v>13.424887394725021</c:v>
                </c:pt>
                <c:pt idx="41">
                  <c:v>13.920728505627631</c:v>
                </c:pt>
                <c:pt idx="42">
                  <c:v>15.87409259191849</c:v>
                </c:pt>
                <c:pt idx="43">
                  <c:v>19.066837975443249</c:v>
                </c:pt>
                <c:pt idx="44">
                  <c:v>12.4638930373874</c:v>
                </c:pt>
                <c:pt idx="45">
                  <c:v>17.070176052707829</c:v>
                </c:pt>
                <c:pt idx="46">
                  <c:v>12.130810350774491</c:v>
                </c:pt>
                <c:pt idx="47">
                  <c:v>9.6581866813726513</c:v>
                </c:pt>
                <c:pt idx="48">
                  <c:v>10.916442355163319</c:v>
                </c:pt>
                <c:pt idx="49">
                  <c:v>14.295939328581531</c:v>
                </c:pt>
                <c:pt idx="50">
                  <c:v>16.001756018873781</c:v>
                </c:pt>
                <c:pt idx="51">
                  <c:v>13.569629697446871</c:v>
                </c:pt>
                <c:pt idx="52">
                  <c:v>17.04570764864172</c:v>
                </c:pt>
                <c:pt idx="53">
                  <c:v>15.061369438808491</c:v>
                </c:pt>
                <c:pt idx="54">
                  <c:v>12.87320140682939</c:v>
                </c:pt>
                <c:pt idx="55">
                  <c:v>7.5215063682930889</c:v>
                </c:pt>
                <c:pt idx="56">
                  <c:v>10.28668399410321</c:v>
                </c:pt>
                <c:pt idx="57">
                  <c:v>16.300220744623338</c:v>
                </c:pt>
                <c:pt idx="58">
                  <c:v>11.79570615895107</c:v>
                </c:pt>
                <c:pt idx="59">
                  <c:v>10.885864445330711</c:v>
                </c:pt>
                <c:pt idx="60">
                  <c:v>17.91314195683497</c:v>
                </c:pt>
                <c:pt idx="61">
                  <c:v>13.55876054745141</c:v>
                </c:pt>
                <c:pt idx="62">
                  <c:v>16.776643511142488</c:v>
                </c:pt>
                <c:pt idx="63">
                  <c:v>10.64633654418336</c:v>
                </c:pt>
                <c:pt idx="64">
                  <c:v>15.76642625220852</c:v>
                </c:pt>
                <c:pt idx="65">
                  <c:v>14.46520640603444</c:v>
                </c:pt>
                <c:pt idx="66">
                  <c:v>16.052371550296499</c:v>
                </c:pt>
                <c:pt idx="67">
                  <c:v>12.426519776874009</c:v>
                </c:pt>
                <c:pt idx="68">
                  <c:v>14.067513771398829</c:v>
                </c:pt>
                <c:pt idx="69">
                  <c:v>17.71820810249222</c:v>
                </c:pt>
                <c:pt idx="70">
                  <c:v>13.041532826086049</c:v>
                </c:pt>
                <c:pt idx="71">
                  <c:v>8.6769906264173908</c:v>
                </c:pt>
                <c:pt idx="72">
                  <c:v>14.131973059039209</c:v>
                </c:pt>
                <c:pt idx="73">
                  <c:v>15.69341016063067</c:v>
                </c:pt>
                <c:pt idx="74">
                  <c:v>11.326580146999101</c:v>
                </c:pt>
                <c:pt idx="75">
                  <c:v>16.33821217496854</c:v>
                </c:pt>
                <c:pt idx="76">
                  <c:v>15.603260204899341</c:v>
                </c:pt>
                <c:pt idx="77">
                  <c:v>14.137381851597381</c:v>
                </c:pt>
                <c:pt idx="78">
                  <c:v>16.57297223288877</c:v>
                </c:pt>
                <c:pt idx="79">
                  <c:v>13.369188969721799</c:v>
                </c:pt>
                <c:pt idx="80">
                  <c:v>11.682861668465961</c:v>
                </c:pt>
                <c:pt idx="81">
                  <c:v>10.243021090015899</c:v>
                </c:pt>
                <c:pt idx="82">
                  <c:v>14.2057965941523</c:v>
                </c:pt>
                <c:pt idx="83">
                  <c:v>17.842597045912459</c:v>
                </c:pt>
                <c:pt idx="84">
                  <c:v>7.6180705984540982</c:v>
                </c:pt>
                <c:pt idx="85">
                  <c:v>10.88819021154093</c:v>
                </c:pt>
                <c:pt idx="86">
                  <c:v>12.872725535428129</c:v>
                </c:pt>
                <c:pt idx="87">
                  <c:v>13.19856559375132</c:v>
                </c:pt>
                <c:pt idx="88">
                  <c:v>17.202589981353199</c:v>
                </c:pt>
                <c:pt idx="89">
                  <c:v>16.985420078006111</c:v>
                </c:pt>
                <c:pt idx="90">
                  <c:v>13.699052124645471</c:v>
                </c:pt>
                <c:pt idx="91">
                  <c:v>18.812320458953518</c:v>
                </c:pt>
                <c:pt idx="92">
                  <c:v>16.398125869214329</c:v>
                </c:pt>
                <c:pt idx="93">
                  <c:v>10.229704487236621</c:v>
                </c:pt>
                <c:pt idx="94">
                  <c:v>17.379711103318758</c:v>
                </c:pt>
                <c:pt idx="95">
                  <c:v>11.760405786338159</c:v>
                </c:pt>
                <c:pt idx="96">
                  <c:v>14.20577823966928</c:v>
                </c:pt>
                <c:pt idx="97">
                  <c:v>18.217105308962079</c:v>
                </c:pt>
                <c:pt idx="98">
                  <c:v>13.231788569531471</c:v>
                </c:pt>
                <c:pt idx="99">
                  <c:v>14.915622267246571</c:v>
                </c:pt>
                <c:pt idx="100">
                  <c:v>12.171144457243949</c:v>
                </c:pt>
                <c:pt idx="101">
                  <c:v>11.76378894554739</c:v>
                </c:pt>
                <c:pt idx="102">
                  <c:v>11.906518232826899</c:v>
                </c:pt>
                <c:pt idx="103">
                  <c:v>14.6205719588575</c:v>
                </c:pt>
                <c:pt idx="104">
                  <c:v>14.52080708982122</c:v>
                </c:pt>
                <c:pt idx="105">
                  <c:v>13.701572660608109</c:v>
                </c:pt>
                <c:pt idx="106">
                  <c:v>13.64907877956149</c:v>
                </c:pt>
                <c:pt idx="107">
                  <c:v>15.02289425078693</c:v>
                </c:pt>
                <c:pt idx="108">
                  <c:v>14.808138533053979</c:v>
                </c:pt>
                <c:pt idx="109">
                  <c:v>9.2431938295213136</c:v>
                </c:pt>
                <c:pt idx="110">
                  <c:v>10.058608631169941</c:v>
                </c:pt>
                <c:pt idx="111">
                  <c:v>18.7711835241107</c:v>
                </c:pt>
                <c:pt idx="112">
                  <c:v>12.882558931748809</c:v>
                </c:pt>
                <c:pt idx="113">
                  <c:v>13.98349125444458</c:v>
                </c:pt>
                <c:pt idx="114">
                  <c:v>10.13533812474447</c:v>
                </c:pt>
                <c:pt idx="115">
                  <c:v>11.036888265350431</c:v>
                </c:pt>
                <c:pt idx="116">
                  <c:v>16.97364645005587</c:v>
                </c:pt>
                <c:pt idx="117">
                  <c:v>14.144222746189721</c:v>
                </c:pt>
                <c:pt idx="118">
                  <c:v>11.89273885679656</c:v>
                </c:pt>
                <c:pt idx="119">
                  <c:v>12.50155471223745</c:v>
                </c:pt>
                <c:pt idx="120">
                  <c:v>17.468861149064239</c:v>
                </c:pt>
                <c:pt idx="121">
                  <c:v>10.386853342420149</c:v>
                </c:pt>
                <c:pt idx="122">
                  <c:v>8.4404853769295176</c:v>
                </c:pt>
                <c:pt idx="123">
                  <c:v>14.009174396923809</c:v>
                </c:pt>
                <c:pt idx="124">
                  <c:v>9.2136375705009783</c:v>
                </c:pt>
                <c:pt idx="125">
                  <c:v>11.400859951059839</c:v>
                </c:pt>
                <c:pt idx="126">
                  <c:v>9.382208674740987</c:v>
                </c:pt>
                <c:pt idx="127">
                  <c:v>15.245412119003269</c:v>
                </c:pt>
                <c:pt idx="128">
                  <c:v>10.295293162971641</c:v>
                </c:pt>
                <c:pt idx="129">
                  <c:v>16.156358954130209</c:v>
                </c:pt>
                <c:pt idx="130">
                  <c:v>12.45476762165316</c:v>
                </c:pt>
                <c:pt idx="131">
                  <c:v>12.67346334045043</c:v>
                </c:pt>
                <c:pt idx="132">
                  <c:v>10.82115694420458</c:v>
                </c:pt>
                <c:pt idx="133">
                  <c:v>12.73188943491558</c:v>
                </c:pt>
                <c:pt idx="134">
                  <c:v>19.82441338022009</c:v>
                </c:pt>
                <c:pt idx="135">
                  <c:v>14.893513624903189</c:v>
                </c:pt>
                <c:pt idx="136">
                  <c:v>14.556514450465331</c:v>
                </c:pt>
                <c:pt idx="137">
                  <c:v>7.7967387538806321</c:v>
                </c:pt>
                <c:pt idx="138">
                  <c:v>17.834733444183009</c:v>
                </c:pt>
                <c:pt idx="139">
                  <c:v>12.893356101163301</c:v>
                </c:pt>
                <c:pt idx="140">
                  <c:v>15.5245420357002</c:v>
                </c:pt>
                <c:pt idx="141">
                  <c:v>14.18169340264067</c:v>
                </c:pt>
                <c:pt idx="142">
                  <c:v>14.312558168005699</c:v>
                </c:pt>
                <c:pt idx="143">
                  <c:v>11.50087427952773</c:v>
                </c:pt>
                <c:pt idx="144">
                  <c:v>17.7749145544995</c:v>
                </c:pt>
                <c:pt idx="145">
                  <c:v>8.485665597558615</c:v>
                </c:pt>
                <c:pt idx="146">
                  <c:v>14.616172435686179</c:v>
                </c:pt>
                <c:pt idx="147">
                  <c:v>19.311930955833301</c:v>
                </c:pt>
                <c:pt idx="148">
                  <c:v>10.46900544142442</c:v>
                </c:pt>
                <c:pt idx="149">
                  <c:v>13.571360952218731</c:v>
                </c:pt>
                <c:pt idx="150">
                  <c:v>12.687647522027531</c:v>
                </c:pt>
                <c:pt idx="151">
                  <c:v>13.07567982151704</c:v>
                </c:pt>
                <c:pt idx="152">
                  <c:v>13.069917525368069</c:v>
                </c:pt>
                <c:pt idx="153">
                  <c:v>10.648401876235249</c:v>
                </c:pt>
                <c:pt idx="154">
                  <c:v>14.52484757594414</c:v>
                </c:pt>
                <c:pt idx="155">
                  <c:v>11.95510418017397</c:v>
                </c:pt>
                <c:pt idx="156">
                  <c:v>13.43088248642175</c:v>
                </c:pt>
                <c:pt idx="157">
                  <c:v>15.75548378516277</c:v>
                </c:pt>
                <c:pt idx="158">
                  <c:v>10.242459458754769</c:v>
                </c:pt>
                <c:pt idx="159">
                  <c:v>15.092852559991121</c:v>
                </c:pt>
                <c:pt idx="160">
                  <c:v>13.391618805698091</c:v>
                </c:pt>
                <c:pt idx="161">
                  <c:v>12.256417270036311</c:v>
                </c:pt>
                <c:pt idx="162">
                  <c:v>19.33973760273928</c:v>
                </c:pt>
                <c:pt idx="163">
                  <c:v>13.666597849211909</c:v>
                </c:pt>
                <c:pt idx="164">
                  <c:v>12.62400762397386</c:v>
                </c:pt>
                <c:pt idx="165">
                  <c:v>14.81795993977811</c:v>
                </c:pt>
                <c:pt idx="166">
                  <c:v>10.224654640200299</c:v>
                </c:pt>
                <c:pt idx="167">
                  <c:v>15.016864536819719</c:v>
                </c:pt>
                <c:pt idx="168">
                  <c:v>13.5767790708205</c:v>
                </c:pt>
                <c:pt idx="169">
                  <c:v>18.429304238668081</c:v>
                </c:pt>
                <c:pt idx="170">
                  <c:v>14.71801004901179</c:v>
                </c:pt>
                <c:pt idx="171">
                  <c:v>18.7667016854206</c:v>
                </c:pt>
                <c:pt idx="172">
                  <c:v>17.432208229196821</c:v>
                </c:pt>
                <c:pt idx="173">
                  <c:v>17.702897190276499</c:v>
                </c:pt>
                <c:pt idx="174">
                  <c:v>11.15677986477284</c:v>
                </c:pt>
                <c:pt idx="175">
                  <c:v>8.3635787739213399</c:v>
                </c:pt>
                <c:pt idx="176">
                  <c:v>9.8859895735005967</c:v>
                </c:pt>
                <c:pt idx="177">
                  <c:v>12.11636004185528</c:v>
                </c:pt>
                <c:pt idx="178">
                  <c:v>16.111705997573811</c:v>
                </c:pt>
                <c:pt idx="179">
                  <c:v>15.42393892409355</c:v>
                </c:pt>
                <c:pt idx="180">
                  <c:v>22.449473364547892</c:v>
                </c:pt>
                <c:pt idx="181">
                  <c:v>11.86772619371134</c:v>
                </c:pt>
                <c:pt idx="182">
                  <c:v>9.2099137871603993</c:v>
                </c:pt>
                <c:pt idx="183">
                  <c:v>16.072799401406179</c:v>
                </c:pt>
                <c:pt idx="184">
                  <c:v>9.4077383272876762</c:v>
                </c:pt>
                <c:pt idx="185">
                  <c:v>15.18444788047703</c:v>
                </c:pt>
                <c:pt idx="186">
                  <c:v>11.922808079836431</c:v>
                </c:pt>
                <c:pt idx="187">
                  <c:v>15.234096367325551</c:v>
                </c:pt>
                <c:pt idx="188">
                  <c:v>15.60885032699257</c:v>
                </c:pt>
                <c:pt idx="189">
                  <c:v>12.12390774916199</c:v>
                </c:pt>
                <c:pt idx="190">
                  <c:v>16.782294076875068</c:v>
                </c:pt>
                <c:pt idx="191">
                  <c:v>17.048536158812219</c:v>
                </c:pt>
                <c:pt idx="192">
                  <c:v>7.1744570572497341</c:v>
                </c:pt>
                <c:pt idx="193">
                  <c:v>14.279561608611861</c:v>
                </c:pt>
                <c:pt idx="194">
                  <c:v>5.7217608074918491</c:v>
                </c:pt>
                <c:pt idx="195">
                  <c:v>17.14733127712698</c:v>
                </c:pt>
                <c:pt idx="196">
                  <c:v>13.74760773170124</c:v>
                </c:pt>
                <c:pt idx="197">
                  <c:v>18.46693843136898</c:v>
                </c:pt>
                <c:pt idx="198">
                  <c:v>7.3066140165917606</c:v>
                </c:pt>
                <c:pt idx="199">
                  <c:v>12.23218928376</c:v>
                </c:pt>
                <c:pt idx="200">
                  <c:v>14.29639386071025</c:v>
                </c:pt>
                <c:pt idx="201">
                  <c:v>7.6205587555453418</c:v>
                </c:pt>
                <c:pt idx="202">
                  <c:v>18.898490406192561</c:v>
                </c:pt>
                <c:pt idx="203">
                  <c:v>17.27027384743247</c:v>
                </c:pt>
                <c:pt idx="204">
                  <c:v>13.448450906094591</c:v>
                </c:pt>
                <c:pt idx="205">
                  <c:v>12.97237544123495</c:v>
                </c:pt>
                <c:pt idx="206">
                  <c:v>11.595320719803</c:v>
                </c:pt>
                <c:pt idx="207">
                  <c:v>9.1696915503658083</c:v>
                </c:pt>
                <c:pt idx="208">
                  <c:v>16.448336738348701</c:v>
                </c:pt>
                <c:pt idx="209">
                  <c:v>18.591826771959031</c:v>
                </c:pt>
                <c:pt idx="210">
                  <c:v>11.157780762989439</c:v>
                </c:pt>
                <c:pt idx="211">
                  <c:v>13.972835298955481</c:v>
                </c:pt>
                <c:pt idx="212">
                  <c:v>12.58964047567537</c:v>
                </c:pt>
                <c:pt idx="213">
                  <c:v>14.371658607281841</c:v>
                </c:pt>
                <c:pt idx="214">
                  <c:v>16.170774142705081</c:v>
                </c:pt>
                <c:pt idx="215">
                  <c:v>15.19947896214626</c:v>
                </c:pt>
                <c:pt idx="216">
                  <c:v>8.650185209567935</c:v>
                </c:pt>
                <c:pt idx="217">
                  <c:v>14.669874883324381</c:v>
                </c:pt>
                <c:pt idx="218">
                  <c:v>8.7653389998218803</c:v>
                </c:pt>
                <c:pt idx="219">
                  <c:v>8.3133680659232727</c:v>
                </c:pt>
                <c:pt idx="220">
                  <c:v>12.95691997258618</c:v>
                </c:pt>
                <c:pt idx="221">
                  <c:v>11.553318371481801</c:v>
                </c:pt>
                <c:pt idx="222">
                  <c:v>12.71514515241282</c:v>
                </c:pt>
                <c:pt idx="223">
                  <c:v>15.621098845933281</c:v>
                </c:pt>
                <c:pt idx="224">
                  <c:v>14.052133215763879</c:v>
                </c:pt>
                <c:pt idx="225">
                  <c:v>11.59008203691287</c:v>
                </c:pt>
                <c:pt idx="226">
                  <c:v>3.0052545539187729</c:v>
                </c:pt>
                <c:pt idx="227">
                  <c:v>11.136391050571451</c:v>
                </c:pt>
                <c:pt idx="228">
                  <c:v>15.353077633484091</c:v>
                </c:pt>
                <c:pt idx="229">
                  <c:v>17.623771690471759</c:v>
                </c:pt>
                <c:pt idx="230">
                  <c:v>14.824961768667629</c:v>
                </c:pt>
                <c:pt idx="231">
                  <c:v>12.741144868290631</c:v>
                </c:pt>
                <c:pt idx="232">
                  <c:v>11.590903801834511</c:v>
                </c:pt>
                <c:pt idx="233">
                  <c:v>15.957554632655601</c:v>
                </c:pt>
                <c:pt idx="234">
                  <c:v>11.89158378153048</c:v>
                </c:pt>
                <c:pt idx="235">
                  <c:v>14.105486130637059</c:v>
                </c:pt>
                <c:pt idx="236">
                  <c:v>16.408711015399739</c:v>
                </c:pt>
                <c:pt idx="237">
                  <c:v>15.60553488681248</c:v>
                </c:pt>
                <c:pt idx="238">
                  <c:v>12.41107135303216</c:v>
                </c:pt>
                <c:pt idx="239">
                  <c:v>15.780962394058269</c:v>
                </c:pt>
                <c:pt idx="240">
                  <c:v>12.92099229096441</c:v>
                </c:pt>
                <c:pt idx="241">
                  <c:v>15.111929896996079</c:v>
                </c:pt>
                <c:pt idx="242">
                  <c:v>17.139588115991881</c:v>
                </c:pt>
                <c:pt idx="243">
                  <c:v>18.077021935919529</c:v>
                </c:pt>
                <c:pt idx="244">
                  <c:v>13.205001542880639</c:v>
                </c:pt>
                <c:pt idx="245">
                  <c:v>16.41049876970343</c:v>
                </c:pt>
                <c:pt idx="246">
                  <c:v>9.9863709284476005</c:v>
                </c:pt>
                <c:pt idx="247">
                  <c:v>10.27809612523933</c:v>
                </c:pt>
                <c:pt idx="248">
                  <c:v>11.11449502615293</c:v>
                </c:pt>
                <c:pt idx="249">
                  <c:v>15.52473324927319</c:v>
                </c:pt>
                <c:pt idx="250">
                  <c:v>17.339900653426739</c:v>
                </c:pt>
                <c:pt idx="251">
                  <c:v>13.68962559377943</c:v>
                </c:pt>
                <c:pt idx="252">
                  <c:v>17.547493797688219</c:v>
                </c:pt>
                <c:pt idx="253">
                  <c:v>13.933968741826829</c:v>
                </c:pt>
                <c:pt idx="254">
                  <c:v>15.045733601965001</c:v>
                </c:pt>
                <c:pt idx="255">
                  <c:v>8.1179702546868704</c:v>
                </c:pt>
                <c:pt idx="256">
                  <c:v>10.37135575041046</c:v>
                </c:pt>
                <c:pt idx="257">
                  <c:v>17.008002809339899</c:v>
                </c:pt>
                <c:pt idx="258">
                  <c:v>12.3219200052316</c:v>
                </c:pt>
                <c:pt idx="259">
                  <c:v>11.62332668179614</c:v>
                </c:pt>
                <c:pt idx="260">
                  <c:v>16.136270958977331</c:v>
                </c:pt>
                <c:pt idx="261">
                  <c:v>13.151274802202931</c:v>
                </c:pt>
                <c:pt idx="262">
                  <c:v>17.243524077586098</c:v>
                </c:pt>
                <c:pt idx="263">
                  <c:v>10.116153266875759</c:v>
                </c:pt>
                <c:pt idx="264">
                  <c:v>15.346063839118081</c:v>
                </c:pt>
                <c:pt idx="265">
                  <c:v>14.69438628509203</c:v>
                </c:pt>
                <c:pt idx="266">
                  <c:v>15.4439708080715</c:v>
                </c:pt>
                <c:pt idx="267">
                  <c:v>12.949059471848781</c:v>
                </c:pt>
                <c:pt idx="268">
                  <c:v>12.58318570885109</c:v>
                </c:pt>
                <c:pt idx="269">
                  <c:v>18.885335667289219</c:v>
                </c:pt>
                <c:pt idx="270">
                  <c:v>14.10632864884054</c:v>
                </c:pt>
                <c:pt idx="271">
                  <c:v>8.8369622790465954</c:v>
                </c:pt>
                <c:pt idx="272">
                  <c:v>14.95272548672196</c:v>
                </c:pt>
                <c:pt idx="273">
                  <c:v>14.476589567222449</c:v>
                </c:pt>
                <c:pt idx="274">
                  <c:v>9.1898445612457245</c:v>
                </c:pt>
                <c:pt idx="275">
                  <c:v>15.96806572134439</c:v>
                </c:pt>
                <c:pt idx="276">
                  <c:v>14.42226723893422</c:v>
                </c:pt>
                <c:pt idx="277">
                  <c:v>15.146096053813441</c:v>
                </c:pt>
                <c:pt idx="278">
                  <c:v>15.07273054217332</c:v>
                </c:pt>
                <c:pt idx="279">
                  <c:v>13.475575098213509</c:v>
                </c:pt>
                <c:pt idx="280">
                  <c:v>12.277574427332761</c:v>
                </c:pt>
                <c:pt idx="281">
                  <c:v>10.12156315858414</c:v>
                </c:pt>
                <c:pt idx="282">
                  <c:v>14.963144831936759</c:v>
                </c:pt>
                <c:pt idx="283">
                  <c:v>18.04273469366494</c:v>
                </c:pt>
                <c:pt idx="284">
                  <c:v>7.2920266539287484</c:v>
                </c:pt>
                <c:pt idx="285">
                  <c:v>12.38286670937997</c:v>
                </c:pt>
                <c:pt idx="286">
                  <c:v>13.15709877568721</c:v>
                </c:pt>
                <c:pt idx="287">
                  <c:v>13.69327463099668</c:v>
                </c:pt>
                <c:pt idx="288">
                  <c:v>16.519262814544849</c:v>
                </c:pt>
                <c:pt idx="289">
                  <c:v>16.679256566181731</c:v>
                </c:pt>
                <c:pt idx="290">
                  <c:v>13.451956657493749</c:v>
                </c:pt>
                <c:pt idx="291">
                  <c:v>18.587890424085479</c:v>
                </c:pt>
                <c:pt idx="292">
                  <c:v>15.587223724541071</c:v>
                </c:pt>
                <c:pt idx="293">
                  <c:v>11.26375835302739</c:v>
                </c:pt>
                <c:pt idx="294">
                  <c:v>16.728695129807871</c:v>
                </c:pt>
                <c:pt idx="295">
                  <c:v>11.16648624823911</c:v>
                </c:pt>
                <c:pt idx="296">
                  <c:v>15.160143663267281</c:v>
                </c:pt>
                <c:pt idx="297">
                  <c:v>17.474562880150891</c:v>
                </c:pt>
                <c:pt idx="298">
                  <c:v>14.49154026034563</c:v>
                </c:pt>
                <c:pt idx="299">
                  <c:v>15.75415058341151</c:v>
                </c:pt>
                <c:pt idx="300">
                  <c:v>11.15691405960847</c:v>
                </c:pt>
                <c:pt idx="301">
                  <c:v>11.161503755304119</c:v>
                </c:pt>
                <c:pt idx="302">
                  <c:v>12.39247495112037</c:v>
                </c:pt>
                <c:pt idx="303">
                  <c:v>13.24057058571961</c:v>
                </c:pt>
                <c:pt idx="304">
                  <c:v>13.88661646673977</c:v>
                </c:pt>
                <c:pt idx="305">
                  <c:v>14.46676739518535</c:v>
                </c:pt>
                <c:pt idx="306">
                  <c:v>13.1674539797813</c:v>
                </c:pt>
                <c:pt idx="307">
                  <c:v>16.856043716951859</c:v>
                </c:pt>
                <c:pt idx="308">
                  <c:v>13.31682280797399</c:v>
                </c:pt>
                <c:pt idx="309">
                  <c:v>11.012378368812071</c:v>
                </c:pt>
                <c:pt idx="310">
                  <c:v>10.01700108016588</c:v>
                </c:pt>
                <c:pt idx="311">
                  <c:v>18.738651022415819</c:v>
                </c:pt>
                <c:pt idx="312">
                  <c:v>12.668379203789041</c:v>
                </c:pt>
                <c:pt idx="313">
                  <c:v>14.898181097920149</c:v>
                </c:pt>
                <c:pt idx="314">
                  <c:v>10.51273376444491</c:v>
                </c:pt>
                <c:pt idx="315">
                  <c:v>11.280425724683971</c:v>
                </c:pt>
                <c:pt idx="316">
                  <c:v>16.70296377278223</c:v>
                </c:pt>
                <c:pt idx="317">
                  <c:v>14.933722650572021</c:v>
                </c:pt>
                <c:pt idx="318">
                  <c:v>11.5686776944464</c:v>
                </c:pt>
                <c:pt idx="319">
                  <c:v>11.935721789272449</c:v>
                </c:pt>
                <c:pt idx="320">
                  <c:v>18.852906084073641</c:v>
                </c:pt>
                <c:pt idx="321">
                  <c:v>8.8093833328945621</c:v>
                </c:pt>
                <c:pt idx="322">
                  <c:v>7.9605922127176107</c:v>
                </c:pt>
                <c:pt idx="323">
                  <c:v>14.130040194724501</c:v>
                </c:pt>
                <c:pt idx="324">
                  <c:v>9.8675247867703</c:v>
                </c:pt>
                <c:pt idx="325">
                  <c:v>12.535489086078121</c:v>
                </c:pt>
                <c:pt idx="326">
                  <c:v>10.534392134404969</c:v>
                </c:pt>
                <c:pt idx="327">
                  <c:v>15.45505985009347</c:v>
                </c:pt>
                <c:pt idx="328">
                  <c:v>9.7356556355500476</c:v>
                </c:pt>
                <c:pt idx="329">
                  <c:v>16.244567283921679</c:v>
                </c:pt>
                <c:pt idx="330">
                  <c:v>12.144844579077381</c:v>
                </c:pt>
                <c:pt idx="331">
                  <c:v>13.15166643970818</c:v>
                </c:pt>
                <c:pt idx="332">
                  <c:v>11.153189732257831</c:v>
                </c:pt>
                <c:pt idx="333">
                  <c:v>12.387792251782811</c:v>
                </c:pt>
                <c:pt idx="334">
                  <c:v>21.001107601809551</c:v>
                </c:pt>
                <c:pt idx="335">
                  <c:v>15.191152792670829</c:v>
                </c:pt>
                <c:pt idx="336">
                  <c:v>15.338024620183811</c:v>
                </c:pt>
                <c:pt idx="337">
                  <c:v>8.7538113236033688</c:v>
                </c:pt>
                <c:pt idx="338">
                  <c:v>18.296160588856701</c:v>
                </c:pt>
                <c:pt idx="339">
                  <c:v>14.007239455342191</c:v>
                </c:pt>
                <c:pt idx="340">
                  <c:v>13.650945595322449</c:v>
                </c:pt>
                <c:pt idx="341">
                  <c:v>14.07678432418601</c:v>
                </c:pt>
                <c:pt idx="342">
                  <c:v>13.50432223907803</c:v>
                </c:pt>
                <c:pt idx="343">
                  <c:v>10.510039980214779</c:v>
                </c:pt>
                <c:pt idx="344">
                  <c:v>19.867427018916981</c:v>
                </c:pt>
                <c:pt idx="345">
                  <c:v>8.5354716071805239</c:v>
                </c:pt>
                <c:pt idx="346">
                  <c:v>14.34295868179376</c:v>
                </c:pt>
                <c:pt idx="347">
                  <c:v>18.925294673416069</c:v>
                </c:pt>
                <c:pt idx="348">
                  <c:v>9.7811408679701373</c:v>
                </c:pt>
                <c:pt idx="349">
                  <c:v>13.00948781512604</c:v>
                </c:pt>
                <c:pt idx="350">
                  <c:v>11.98077139851887</c:v>
                </c:pt>
                <c:pt idx="351">
                  <c:v>12.238474662360071</c:v>
                </c:pt>
                <c:pt idx="352">
                  <c:v>11.56935880512207</c:v>
                </c:pt>
                <c:pt idx="353">
                  <c:v>11.207856543549889</c:v>
                </c:pt>
                <c:pt idx="354">
                  <c:v>13.623946490309139</c:v>
                </c:pt>
                <c:pt idx="355">
                  <c:v>14.08608550184587</c:v>
                </c:pt>
                <c:pt idx="356">
                  <c:v>14.11752937388912</c:v>
                </c:pt>
                <c:pt idx="357">
                  <c:v>16.18765980322291</c:v>
                </c:pt>
                <c:pt idx="358">
                  <c:v>9.3654925129631117</c:v>
                </c:pt>
                <c:pt idx="359">
                  <c:v>15.87775861215159</c:v>
                </c:pt>
                <c:pt idx="360">
                  <c:v>12.78582992750416</c:v>
                </c:pt>
                <c:pt idx="361">
                  <c:v>10.889043581236249</c:v>
                </c:pt>
                <c:pt idx="362">
                  <c:v>20.52200948712526</c:v>
                </c:pt>
                <c:pt idx="363">
                  <c:v>13.82757239192215</c:v>
                </c:pt>
                <c:pt idx="364">
                  <c:v>12.587649206859069</c:v>
                </c:pt>
                <c:pt idx="365">
                  <c:v>14.61138920330508</c:v>
                </c:pt>
                <c:pt idx="366">
                  <c:v>11.62684987147693</c:v>
                </c:pt>
                <c:pt idx="367">
                  <c:v>16.96208539940676</c:v>
                </c:pt>
                <c:pt idx="368">
                  <c:v>14.44745647508716</c:v>
                </c:pt>
                <c:pt idx="369">
                  <c:v>19.944077668094849</c:v>
                </c:pt>
                <c:pt idx="370">
                  <c:v>15.20054353839793</c:v>
                </c:pt>
                <c:pt idx="371">
                  <c:v>17.19946882370191</c:v>
                </c:pt>
                <c:pt idx="372">
                  <c:v>17.64604448490077</c:v>
                </c:pt>
                <c:pt idx="373">
                  <c:v>18.53705567518141</c:v>
                </c:pt>
                <c:pt idx="374">
                  <c:v>11.011462931496441</c:v>
                </c:pt>
                <c:pt idx="375">
                  <c:v>8.8122161863035409</c:v>
                </c:pt>
                <c:pt idx="376">
                  <c:v>9.2120633597471926</c:v>
                </c:pt>
                <c:pt idx="377">
                  <c:v>11.403491361248349</c:v>
                </c:pt>
                <c:pt idx="378">
                  <c:v>17.09461296924967</c:v>
                </c:pt>
                <c:pt idx="379">
                  <c:v>15.05778156213418</c:v>
                </c:pt>
                <c:pt idx="380">
                  <c:v>22.33691657995508</c:v>
                </c:pt>
                <c:pt idx="381">
                  <c:v>11.22368668234483</c:v>
                </c:pt>
                <c:pt idx="382">
                  <c:v>9.0331049765901739</c:v>
                </c:pt>
                <c:pt idx="383">
                  <c:v>14.910724422641779</c:v>
                </c:pt>
                <c:pt idx="384">
                  <c:v>9.6722852622984572</c:v>
                </c:pt>
                <c:pt idx="385">
                  <c:v>15.767239977955031</c:v>
                </c:pt>
                <c:pt idx="386">
                  <c:v>12.82810621769883</c:v>
                </c:pt>
                <c:pt idx="387">
                  <c:v>16.150413481410801</c:v>
                </c:pt>
                <c:pt idx="388">
                  <c:v>14.978499257390551</c:v>
                </c:pt>
                <c:pt idx="389">
                  <c:v>11.56049377383701</c:v>
                </c:pt>
                <c:pt idx="390">
                  <c:v>17.03293046421431</c:v>
                </c:pt>
                <c:pt idx="391">
                  <c:v>17.52827775256198</c:v>
                </c:pt>
                <c:pt idx="392">
                  <c:v>7.0292763652640211</c:v>
                </c:pt>
                <c:pt idx="393">
                  <c:v>13.15227413183678</c:v>
                </c:pt>
                <c:pt idx="394">
                  <c:v>4.2387432682255364</c:v>
                </c:pt>
                <c:pt idx="395">
                  <c:v>18.24154975365833</c:v>
                </c:pt>
                <c:pt idx="396">
                  <c:v>13.908831578706939</c:v>
                </c:pt>
                <c:pt idx="397">
                  <c:v>19.629123520577441</c:v>
                </c:pt>
                <c:pt idx="398">
                  <c:v>7.6374421619363622</c:v>
                </c:pt>
                <c:pt idx="399">
                  <c:v>11.98890823627562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10-4E24-A4A3-5D88CDA2C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416319"/>
        <c:axId val="2142415071"/>
      </c:scatterChart>
      <c:valAx>
        <c:axId val="2142416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42415071"/>
        <c:crosses val="autoZero"/>
        <c:crossBetween val="midCat"/>
      </c:valAx>
      <c:valAx>
        <c:axId val="21424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42416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PA" sz="1400" b="1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Histograma — Tiempo de Procesamiento (Horas)</a:t>
            </a:r>
            <a:endParaRPr lang="es-PA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endParaRPr>
          </a:p>
        </cx:rich>
      </cx:tx>
    </cx:title>
    <cx:plotArea>
      <cx:plotAreaRegion>
        <cx:series layoutId="clusteredColumn" uniqueId="{00000000-E3B6-4DEB-96BF-CEB4F451E93D}">
          <cx:dataId val="0"/>
          <cx:layoutPr>
            <cx:aggregation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PA" sz="900" b="1" i="0" u="none" strike="noStrik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  <a:latin typeface="Calibri"/>
                    <a:ea typeface="Calibri" panose="020F0502020204030204" pitchFamily="34" charset="0"/>
                    <a:cs typeface="Calibri" panose="020F0502020204030204" pitchFamily="34" charset="0"/>
                  </a:rPr>
                  <a:t>Clase (Horas)</a:t>
                </a:r>
                <a:endParaRPr lang="es-E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s-PA" sz="900" b="1" i="0" u="none" strike="noStrik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  <a:latin typeface="Calibri"/>
                    <a:ea typeface="Calibri" panose="020F0502020204030204" pitchFamily="34" charset="0"/>
                    <a:cs typeface="Calibri" panose="020F0502020204030204" pitchFamily="34" charset="0"/>
                  </a:rPr>
                  <a:t>Frecuencia</a:t>
                </a:r>
                <a:endParaRPr lang="es-PA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lang="es-E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753140</xdr:colOff>
      <xdr:row>3</xdr:row>
      <xdr:rowOff>210438</xdr:rowOff>
    </xdr:from>
    <xdr:to>
      <xdr:col>12</xdr:col>
      <xdr:colOff>690256</xdr:colOff>
      <xdr:row>16</xdr:row>
      <xdr:rowOff>113420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B54F05-601D-4D06-90BB-765242B75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22151</xdr:colOff>
      <xdr:row>18</xdr:row>
      <xdr:rowOff>166134</xdr:rowOff>
    </xdr:from>
    <xdr:to>
      <xdr:col>12</xdr:col>
      <xdr:colOff>745514</xdr:colOff>
      <xdr:row>34</xdr:row>
      <xdr:rowOff>145286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488B2EA-044E-4197-9FF2-D3FAB21DA0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9</xdr:col>
      <xdr:colOff>541106</xdr:colOff>
      <xdr:row>12</xdr:row>
      <xdr:rowOff>108249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CA706-37F4-4A01-B46C-C945119F0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10</xdr:col>
      <xdr:colOff>274268</xdr:colOff>
      <xdr:row>15</xdr:row>
      <xdr:rowOff>43530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D51E0-F229-4F44-89EA-B9D5BD30C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9</xdr:col>
      <xdr:colOff>741483</xdr:colOff>
      <xdr:row>15</xdr:row>
      <xdr:rowOff>147200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41F147-926D-4300-AA46-B1A872D38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65087</xdr:colOff>
      <xdr:row>13</xdr:row>
      <xdr:rowOff>12171</xdr:rowOff>
    </xdr:from>
    <xdr:to>
      <xdr:col>3</xdr:col>
      <xdr:colOff>665162</xdr:colOff>
      <xdr:row>27</xdr:row>
      <xdr:rowOff>88370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22B04C-678C-46C8-B21B-F89337E51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434050</xdr:colOff>
      <xdr:row>5</xdr:row>
      <xdr:rowOff>108513</xdr:rowOff>
    </xdr:from>
    <xdr:to>
      <xdr:col>8</xdr:col>
      <xdr:colOff>162768</xdr:colOff>
      <xdr:row>18</xdr:row>
      <xdr:rowOff>14710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51B3A3-5B64-485B-A761-0431BA402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C:/Users/asxfs/Downloads/Calculos-DATATECH%20Am&#243;s.xlsx" TargetMode="External" /><Relationship Id="rId1" Type="http://schemas.openxmlformats.org/officeDocument/2006/relationships/externalLinkPath" Target="file:///C:/Users/asxfs/Downloads/Calculos-DATATECH%20Am&#243;s.xlsx" TargetMode="External" 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C:/Users/asxfs/Downloads/DATATECH%20DATOS-%20SEMESTRAL%20(2).xlsx" TargetMode="External" /><Relationship Id="rId1" Type="http://schemas.openxmlformats.org/officeDocument/2006/relationships/externalLinkPath" Target="file:///C:/Users/asxfs/Downloads/DATATECH%20DATOS-%20SEMESTRAL%20(2)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Índice"/>
      <sheetName val="Datos"/>
      <sheetName val="1. Descriptivo"/>
      <sheetName val="2. Caja y Bigote"/>
      <sheetName val="3. Estándar Calidad"/>
      <sheetName val="4. Comparación Tipo"/>
      <sheetName val="5. Regresión Simple"/>
    </sheetNames>
    <sheetDataSet>
      <sheetData sheetId="0"/>
      <sheetData sheetId="1">
        <row r="2">
          <cell r="C2">
            <v>18.248357076505599</v>
          </cell>
          <cell r="D2">
            <v>12.650402467902399</v>
          </cell>
        </row>
        <row r="3">
          <cell r="C3">
            <v>9.93086784941441</v>
          </cell>
          <cell r="D3">
            <v>7.8465119664020397</v>
          </cell>
        </row>
        <row r="4">
          <cell r="C4">
            <v>16.323844269050401</v>
          </cell>
          <cell r="D4">
            <v>18.2934368519213</v>
          </cell>
        </row>
        <row r="5">
          <cell r="C5">
            <v>19.761514928204001</v>
          </cell>
          <cell r="D5">
            <v>16.354213761904301</v>
          </cell>
        </row>
        <row r="6">
          <cell r="C6">
            <v>10.882923312638299</v>
          </cell>
          <cell r="D6">
            <v>12.844000643802501</v>
          </cell>
        </row>
        <row r="7">
          <cell r="C7">
            <v>12.8829315215254</v>
          </cell>
          <cell r="D7">
            <v>12.0946133250876</v>
          </cell>
        </row>
        <row r="8">
          <cell r="C8">
            <v>14.7896064077537</v>
          </cell>
          <cell r="D8">
            <v>11.3896388586077</v>
          </cell>
        </row>
        <row r="9">
          <cell r="C9">
            <v>16.383717364576501</v>
          </cell>
          <cell r="D9">
            <v>9.9412842031688999</v>
          </cell>
        </row>
        <row r="10">
          <cell r="C10">
            <v>11.765262807032499</v>
          </cell>
          <cell r="D10">
            <v>17.77764785478</v>
          </cell>
        </row>
        <row r="11">
          <cell r="C11">
            <v>14.271280021793</v>
          </cell>
          <cell r="D11">
            <v>17.904702937757701</v>
          </cell>
        </row>
        <row r="12">
          <cell r="C12">
            <v>10.7682911535938</v>
          </cell>
          <cell r="D12">
            <v>11.1978552182038</v>
          </cell>
        </row>
        <row r="13">
          <cell r="C13">
            <v>15.767135123214899</v>
          </cell>
          <cell r="D13">
            <v>13.2244951043063</v>
          </cell>
        </row>
        <row r="14">
          <cell r="C14">
            <v>16.120981135783001</v>
          </cell>
          <cell r="D14">
            <v>11.3197825177366</v>
          </cell>
        </row>
        <row r="15">
          <cell r="C15">
            <v>12.043359877671101</v>
          </cell>
          <cell r="D15">
            <v>16.053874715719701</v>
          </cell>
        </row>
        <row r="16">
          <cell r="C16">
            <v>16.1375410837435</v>
          </cell>
          <cell r="D16">
            <v>14.691367565359</v>
          </cell>
        </row>
        <row r="17">
          <cell r="C17">
            <v>9.7188562353795103</v>
          </cell>
          <cell r="D17">
            <v>14.585083559174</v>
          </cell>
        </row>
        <row r="18">
          <cell r="C18">
            <v>11.4935844398328</v>
          </cell>
          <cell r="D18">
            <v>9.6594152362102808</v>
          </cell>
        </row>
        <row r="19">
          <cell r="C19">
            <v>13.157123666297601</v>
          </cell>
          <cell r="D19">
            <v>14.2428104906003</v>
          </cell>
        </row>
        <row r="20">
          <cell r="C20">
            <v>14.545987962239399</v>
          </cell>
          <cell r="D20">
            <v>9.2541405664508591</v>
          </cell>
        </row>
        <row r="21">
          <cell r="C21">
            <v>8.2938481493323604</v>
          </cell>
          <cell r="D21">
            <v>8.2039121859149606</v>
          </cell>
        </row>
        <row r="22">
          <cell r="C22">
            <v>6.7328243844607796</v>
          </cell>
          <cell r="D22">
            <v>14.9527756388153</v>
          </cell>
        </row>
        <row r="23">
          <cell r="C23">
            <v>13.8871118497567</v>
          </cell>
          <cell r="D23">
            <v>12.452029111196801</v>
          </cell>
        </row>
        <row r="24">
          <cell r="C24">
            <v>19.033764102344001</v>
          </cell>
          <cell r="D24">
            <v>11.223453100944999</v>
          </cell>
        </row>
        <row r="25">
          <cell r="C25">
            <v>11.2876259068933</v>
          </cell>
          <cell r="D25">
            <v>15.3594044792929</v>
          </cell>
        </row>
        <row r="26">
          <cell r="C26">
            <v>9.7278086377374091</v>
          </cell>
          <cell r="D26">
            <v>13.3886657418259</v>
          </cell>
        </row>
        <row r="27">
          <cell r="C27">
            <v>18.055461294854901</v>
          </cell>
          <cell r="D27">
            <v>12.9059751006873</v>
          </cell>
        </row>
        <row r="28">
          <cell r="C28">
            <v>16.424503211288901</v>
          </cell>
          <cell r="D28">
            <v>3.0225315056937099</v>
          </cell>
        </row>
        <row r="29">
          <cell r="C29">
            <v>18.187849009172801</v>
          </cell>
          <cell r="D29">
            <v>11.704677916640099</v>
          </cell>
        </row>
        <row r="30">
          <cell r="C30">
            <v>12.6996806550406</v>
          </cell>
          <cell r="D30">
            <v>16.0549673356767</v>
          </cell>
        </row>
        <row r="31">
          <cell r="C31">
            <v>19.854153125103402</v>
          </cell>
          <cell r="D31">
            <v>15.626719987045901</v>
          </cell>
        </row>
        <row r="32">
          <cell r="C32">
            <v>12.6991466938853</v>
          </cell>
          <cell r="D32">
            <v>15.181406050602</v>
          </cell>
        </row>
        <row r="33">
          <cell r="C33">
            <v>13.9261390922545</v>
          </cell>
          <cell r="D33">
            <v>10.242997120236099</v>
          </cell>
        </row>
        <row r="34">
          <cell r="C34">
            <v>17.993251387630998</v>
          </cell>
          <cell r="D34">
            <v>11.5129245467286</v>
          </cell>
        </row>
        <row r="35">
          <cell r="C35">
            <v>20.4711445355221</v>
          </cell>
          <cell r="D35">
            <v>16.758650960676</v>
          </cell>
        </row>
        <row r="36">
          <cell r="C36">
            <v>10.4112724560516</v>
          </cell>
          <cell r="D36">
            <v>13.651706780679801</v>
          </cell>
        </row>
        <row r="37">
          <cell r="C37">
            <v>17.389578175014499</v>
          </cell>
          <cell r="D37">
            <v>15.3157521472369</v>
          </cell>
        </row>
        <row r="38">
          <cell r="C38">
            <v>18.1044317975024</v>
          </cell>
          <cell r="D38">
            <v>16.972522488526302</v>
          </cell>
        </row>
        <row r="39">
          <cell r="C39">
            <v>14.0201649380601</v>
          </cell>
          <cell r="D39">
            <v>14.588141289030199</v>
          </cell>
        </row>
        <row r="40">
          <cell r="C40">
            <v>12.335906975550801</v>
          </cell>
          <cell r="D40">
            <v>12.121676275302301</v>
          </cell>
        </row>
        <row r="41">
          <cell r="C41">
            <v>21.0984306179346</v>
          </cell>
          <cell r="D41">
            <v>16.648634145275199</v>
          </cell>
        </row>
        <row r="42">
          <cell r="C42">
            <v>14.3692332899977</v>
          </cell>
          <cell r="D42">
            <v>13.424887394724999</v>
          </cell>
        </row>
        <row r="43">
          <cell r="C43">
            <v>12.085684140594999</v>
          </cell>
          <cell r="D43">
            <v>13.920728505627601</v>
          </cell>
        </row>
        <row r="44">
          <cell r="C44">
            <v>11.9421758588059</v>
          </cell>
          <cell r="D44">
            <v>15.874092591918499</v>
          </cell>
        </row>
        <row r="45">
          <cell r="C45">
            <v>21.849448152205401</v>
          </cell>
          <cell r="D45">
            <v>19.066837975443299</v>
          </cell>
        </row>
        <row r="46">
          <cell r="C46">
            <v>18.260739004816301</v>
          </cell>
          <cell r="D46">
            <v>12.4638930373874</v>
          </cell>
        </row>
        <row r="47">
          <cell r="C47">
            <v>20.640077895802602</v>
          </cell>
          <cell r="D47">
            <v>17.070176052707801</v>
          </cell>
        </row>
        <row r="48">
          <cell r="C48">
            <v>12.7696806145201</v>
          </cell>
          <cell r="D48">
            <v>12.1308103507745</v>
          </cell>
        </row>
        <row r="49">
          <cell r="C49">
            <v>12.5285611131095</v>
          </cell>
          <cell r="D49">
            <v>9.6581866813726496</v>
          </cell>
        </row>
        <row r="50">
          <cell r="C50">
            <v>14.1718091447842</v>
          </cell>
          <cell r="D50">
            <v>10.9164423551633</v>
          </cell>
        </row>
        <row r="51">
          <cell r="C51">
            <v>9.1184799223186292</v>
          </cell>
          <cell r="D51">
            <v>14.2959393285815</v>
          </cell>
        </row>
        <row r="52">
          <cell r="C52">
            <v>23.162041984697399</v>
          </cell>
          <cell r="D52">
            <v>16.001756018873799</v>
          </cell>
        </row>
        <row r="53">
          <cell r="C53">
            <v>14.807458859791801</v>
          </cell>
          <cell r="D53">
            <v>13.569629697446899</v>
          </cell>
        </row>
        <row r="54">
          <cell r="C54">
            <v>24.661538999847</v>
          </cell>
          <cell r="D54">
            <v>17.045707648641699</v>
          </cell>
        </row>
        <row r="55">
          <cell r="C55">
            <v>15.305838144420401</v>
          </cell>
          <cell r="D55">
            <v>15.0613694388085</v>
          </cell>
        </row>
        <row r="56">
          <cell r="C56">
            <v>12.515499761248</v>
          </cell>
          <cell r="D56">
            <v>12.8732014068294</v>
          </cell>
        </row>
        <row r="57">
          <cell r="C57">
            <v>16.465640059558101</v>
          </cell>
          <cell r="D57">
            <v>7.5215063682930898</v>
          </cell>
        </row>
        <row r="58">
          <cell r="C58">
            <v>6.58039123838868</v>
          </cell>
          <cell r="D58">
            <v>10.2866839941032</v>
          </cell>
        </row>
        <row r="59">
          <cell r="C59">
            <v>20.845393812074398</v>
          </cell>
          <cell r="D59">
            <v>16.300220744623299</v>
          </cell>
        </row>
        <row r="60">
          <cell r="C60">
            <v>10.165631715701799</v>
          </cell>
          <cell r="D60">
            <v>11.7957061589511</v>
          </cell>
        </row>
        <row r="61">
          <cell r="C61">
            <v>17.487772563561201</v>
          </cell>
          <cell r="D61">
            <v>10.8858644453307</v>
          </cell>
        </row>
        <row r="62">
          <cell r="C62">
            <v>11.7604128810774</v>
          </cell>
          <cell r="D62">
            <v>17.913141956834998</v>
          </cell>
        </row>
        <row r="63">
          <cell r="C63">
            <v>12.907170511668101</v>
          </cell>
          <cell r="D63">
            <v>13.558760547451399</v>
          </cell>
        </row>
        <row r="64">
          <cell r="C64">
            <v>16.446832512996998</v>
          </cell>
          <cell r="D64">
            <v>16.776643511142499</v>
          </cell>
        </row>
        <row r="65">
          <cell r="C65">
            <v>8.4018966879596704</v>
          </cell>
          <cell r="D65">
            <v>10.6463365441834</v>
          </cell>
        </row>
        <row r="66">
          <cell r="C66">
            <v>13.4062629111971</v>
          </cell>
          <cell r="D66">
            <v>15.7664262522085</v>
          </cell>
        </row>
        <row r="67">
          <cell r="C67">
            <v>17.678120014285401</v>
          </cell>
          <cell r="D67">
            <v>14.465206406034399</v>
          </cell>
        </row>
        <row r="68">
          <cell r="C68">
            <v>14.963994939209799</v>
          </cell>
          <cell r="D68">
            <v>16.052371550296499</v>
          </cell>
        </row>
        <row r="69">
          <cell r="C69">
            <v>17.501766448946</v>
          </cell>
          <cell r="D69">
            <v>12.426519776874001</v>
          </cell>
        </row>
        <row r="70">
          <cell r="C70">
            <v>17.180818012523801</v>
          </cell>
          <cell r="D70">
            <v>14.067513771398801</v>
          </cell>
        </row>
        <row r="71">
          <cell r="C71">
            <v>21.677440122697401</v>
          </cell>
          <cell r="D71">
            <v>17.718208102492198</v>
          </cell>
        </row>
        <row r="72">
          <cell r="C72">
            <v>13.180697802754199</v>
          </cell>
          <cell r="D72">
            <v>13.041532826086099</v>
          </cell>
        </row>
        <row r="73">
          <cell r="C73">
            <v>12.769018283233001</v>
          </cell>
          <cell r="D73">
            <v>8.6769906264173908</v>
          </cell>
        </row>
        <row r="74">
          <cell r="C74">
            <v>18.982086980445001</v>
          </cell>
          <cell r="D74">
            <v>14.131973059039201</v>
          </cell>
        </row>
        <row r="75">
          <cell r="C75">
            <v>15.782321827906999</v>
          </cell>
          <cell r="D75">
            <v>15.6934101606307</v>
          </cell>
        </row>
        <row r="76">
          <cell r="C76">
            <v>19.690127447955099</v>
          </cell>
          <cell r="D76">
            <v>11.326580146999101</v>
          </cell>
        </row>
        <row r="77">
          <cell r="C77">
            <v>13.4109512521876</v>
          </cell>
          <cell r="D77">
            <v>16.338212174968501</v>
          </cell>
        </row>
        <row r="78">
          <cell r="C78">
            <v>17.0435235341191</v>
          </cell>
          <cell r="D78">
            <v>15.6032602048993</v>
          </cell>
        </row>
        <row r="79">
          <cell r="C79">
            <v>15.8504963247671</v>
          </cell>
          <cell r="D79">
            <v>14.1373818515974</v>
          </cell>
        </row>
        <row r="80">
          <cell r="C80">
            <v>9.0458803882677508</v>
          </cell>
          <cell r="D80">
            <v>16.572972232888802</v>
          </cell>
        </row>
        <row r="81">
          <cell r="C81">
            <v>14.0062155426996</v>
          </cell>
          <cell r="D81">
            <v>13.369188969721799</v>
          </cell>
        </row>
        <row r="82">
          <cell r="C82">
            <v>16.890164056081201</v>
          </cell>
          <cell r="D82">
            <v>11.682861668466</v>
          </cell>
        </row>
        <row r="83">
          <cell r="C83">
            <v>18.178556285755899</v>
          </cell>
          <cell r="D83">
            <v>10.243021090015899</v>
          </cell>
        </row>
        <row r="84">
          <cell r="C84">
            <v>13.7389470223708</v>
          </cell>
          <cell r="D84">
            <v>14.2057965941523</v>
          </cell>
        </row>
        <row r="85">
          <cell r="C85">
            <v>16.7408648908632</v>
          </cell>
          <cell r="D85">
            <v>17.842597045912498</v>
          </cell>
        </row>
        <row r="86">
          <cell r="C86">
            <v>8.5957531985534104</v>
          </cell>
          <cell r="D86">
            <v>7.6180705984541</v>
          </cell>
        </row>
        <row r="87">
          <cell r="C87">
            <v>11.7491214782077</v>
          </cell>
          <cell r="D87">
            <v>10.8881902115409</v>
          </cell>
        </row>
        <row r="88">
          <cell r="C88">
            <v>21.457701058851001</v>
          </cell>
          <cell r="D88">
            <v>12.872725535428099</v>
          </cell>
        </row>
        <row r="89">
          <cell r="C89">
            <v>19.1643755548298</v>
          </cell>
          <cell r="D89">
            <v>13.198565593751299</v>
          </cell>
        </row>
        <row r="90">
          <cell r="C90">
            <v>15.735119898116499</v>
          </cell>
          <cell r="D90">
            <v>17.202589981353199</v>
          </cell>
        </row>
        <row r="91">
          <cell r="C91">
            <v>11.256633716556699</v>
          </cell>
          <cell r="D91">
            <v>16.985420078006101</v>
          </cell>
        </row>
        <row r="92">
          <cell r="C92">
            <v>12.048538774674</v>
          </cell>
          <cell r="D92">
            <v>13.699052124645499</v>
          </cell>
        </row>
        <row r="93">
          <cell r="C93">
            <v>17.484322495266401</v>
          </cell>
          <cell r="D93">
            <v>18.812320458953501</v>
          </cell>
        </row>
        <row r="94">
          <cell r="C94">
            <v>20.648973453061298</v>
          </cell>
          <cell r="D94">
            <v>16.398125869214301</v>
          </cell>
        </row>
        <row r="95">
          <cell r="C95">
            <v>11.836168926701101</v>
          </cell>
          <cell r="D95">
            <v>10.229704487236599</v>
          </cell>
        </row>
        <row r="96">
          <cell r="C96">
            <v>19.803945923433901</v>
          </cell>
          <cell r="D96">
            <v>17.379711103318801</v>
          </cell>
        </row>
        <row r="97">
          <cell r="C97">
            <v>10.2682425259339</v>
          </cell>
          <cell r="D97">
            <v>11.7604057863382</v>
          </cell>
        </row>
        <row r="98">
          <cell r="C98">
            <v>22.148060138532301</v>
          </cell>
          <cell r="D98">
            <v>14.2057782396693</v>
          </cell>
        </row>
        <row r="99">
          <cell r="C99">
            <v>16.130527636089901</v>
          </cell>
          <cell r="D99">
            <v>18.2171053089621</v>
          </cell>
        </row>
        <row r="100">
          <cell r="C100">
            <v>10.002556728321199</v>
          </cell>
          <cell r="D100">
            <v>13.231788569531499</v>
          </cell>
        </row>
        <row r="101">
          <cell r="C101">
            <v>19.8827064333124</v>
          </cell>
          <cell r="D101">
            <v>14.915622267246601</v>
          </cell>
        </row>
        <row r="102">
          <cell r="C102">
            <v>16.2923146289748</v>
          </cell>
          <cell r="D102">
            <v>12.171144457244001</v>
          </cell>
        </row>
        <row r="103">
          <cell r="C103">
            <v>12.789677338617301</v>
          </cell>
          <cell r="D103">
            <v>11.7637889455474</v>
          </cell>
        </row>
        <row r="104">
          <cell r="C104">
            <v>14.8286427417366</v>
          </cell>
          <cell r="D104">
            <v>11.906518232826899</v>
          </cell>
        </row>
        <row r="105">
          <cell r="C105">
            <v>18.598861365389201</v>
          </cell>
          <cell r="D105">
            <v>14.6205719588575</v>
          </cell>
        </row>
        <row r="106">
          <cell r="C106">
            <v>16.919357144167002</v>
          </cell>
          <cell r="D106">
            <v>14.520807089821201</v>
          </cell>
        </row>
        <row r="107">
          <cell r="C107">
            <v>21.2020254284073</v>
          </cell>
          <cell r="D107">
            <v>13.7015726606081</v>
          </cell>
        </row>
        <row r="108">
          <cell r="C108">
            <v>13.943092950605299</v>
          </cell>
          <cell r="D108">
            <v>13.649078779561499</v>
          </cell>
        </row>
        <row r="109">
          <cell r="C109">
            <v>16.0872889064159</v>
          </cell>
          <cell r="D109">
            <v>15.0228942507869</v>
          </cell>
        </row>
        <row r="110">
          <cell r="C110">
            <v>15.128775195361399</v>
          </cell>
          <cell r="D110">
            <v>14.808138533054001</v>
          </cell>
        </row>
        <row r="111">
          <cell r="C111">
            <v>11.962777042116899</v>
          </cell>
          <cell r="D111">
            <v>9.2431938295213101</v>
          </cell>
        </row>
        <row r="112">
          <cell r="C112">
            <v>3.0406143923504798</v>
          </cell>
          <cell r="D112">
            <v>10.0586086311699</v>
          </cell>
        </row>
        <row r="113">
          <cell r="C113">
            <v>18.986743062275401</v>
          </cell>
          <cell r="D113">
            <v>18.7711835241107</v>
          </cell>
        </row>
        <row r="114">
          <cell r="C114">
            <v>10.0301151049705</v>
          </cell>
          <cell r="D114">
            <v>12.8825589317488</v>
          </cell>
        </row>
        <row r="115">
          <cell r="C115">
            <v>19.231621056242599</v>
          </cell>
          <cell r="D115">
            <v>13.9834912544446</v>
          </cell>
        </row>
        <row r="116">
          <cell r="C116">
            <v>15.903819517609399</v>
          </cell>
          <cell r="D116">
            <v>10.1353381247445</v>
          </cell>
        </row>
        <row r="117">
          <cell r="C117">
            <v>7.1507736711668102</v>
          </cell>
          <cell r="D117">
            <v>11.036888265350401</v>
          </cell>
        </row>
        <row r="118">
          <cell r="C118">
            <v>14.9826441151474</v>
          </cell>
          <cell r="D118">
            <v>16.973646450055899</v>
          </cell>
        </row>
        <row r="119">
          <cell r="C119">
            <v>14.4156609811902</v>
          </cell>
          <cell r="D119">
            <v>14.144222746189699</v>
          </cell>
        </row>
        <row r="120">
          <cell r="C120">
            <v>19.5714114072575</v>
          </cell>
          <cell r="D120">
            <v>11.892738856796599</v>
          </cell>
        </row>
        <row r="121">
          <cell r="C121">
            <v>14.3759665163434</v>
          </cell>
          <cell r="D121">
            <v>12.5015547122375</v>
          </cell>
        </row>
        <row r="122">
          <cell r="C122">
            <v>19.395515973521501</v>
          </cell>
          <cell r="D122">
            <v>17.4688611490642</v>
          </cell>
        </row>
        <row r="123">
          <cell r="C123">
            <v>13.5453062726026</v>
          </cell>
          <cell r="D123">
            <v>10.386853342420199</v>
          </cell>
        </row>
        <row r="124">
          <cell r="C124">
            <v>10.701397155468101</v>
          </cell>
          <cell r="D124">
            <v>8.4404853769295194</v>
          </cell>
        </row>
        <row r="125">
          <cell r="C125">
            <v>15.2990744686039</v>
          </cell>
          <cell r="D125">
            <v>14.0091743969238</v>
          </cell>
        </row>
        <row r="126">
          <cell r="C126">
            <v>17.293428546900099</v>
          </cell>
          <cell r="D126">
            <v>9.2136375705009801</v>
          </cell>
        </row>
        <row r="127">
          <cell r="C127">
            <v>17.095227812905001</v>
          </cell>
          <cell r="D127">
            <v>11.4008599510598</v>
          </cell>
        </row>
        <row r="128">
          <cell r="C128">
            <v>13.504731837434701</v>
          </cell>
          <cell r="D128">
            <v>9.3822086747409905</v>
          </cell>
        </row>
        <row r="129">
          <cell r="C129">
            <v>12.716851135198601</v>
          </cell>
          <cell r="D129">
            <v>15.2454121190033</v>
          </cell>
        </row>
        <row r="130">
          <cell r="C130">
            <v>6.0498256825438199</v>
          </cell>
          <cell r="D130">
            <v>10.2952931629716</v>
          </cell>
        </row>
        <row r="131">
          <cell r="C131">
            <v>14.748262172941899</v>
          </cell>
          <cell r="D131">
            <v>16.156358954130202</v>
          </cell>
        </row>
        <row r="132">
          <cell r="C132">
            <v>14.224668284466899</v>
          </cell>
          <cell r="D132">
            <v>12.4547676216532</v>
          </cell>
        </row>
        <row r="133">
          <cell r="C133">
            <v>11.034281487403</v>
          </cell>
          <cell r="D133">
            <v>12.6734633404504</v>
          </cell>
        </row>
        <row r="134">
          <cell r="C134">
            <v>13.468848143137</v>
          </cell>
          <cell r="D134">
            <v>10.821156944204599</v>
          </cell>
        </row>
        <row r="135">
          <cell r="C135">
            <v>17.2367962153176</v>
          </cell>
          <cell r="D135">
            <v>12.731889434915599</v>
          </cell>
        </row>
        <row r="136">
          <cell r="C136">
            <v>12.540287882883099</v>
          </cell>
          <cell r="D136">
            <v>19.824413380220101</v>
          </cell>
        </row>
        <row r="137">
          <cell r="C137">
            <v>15.774967202508799</v>
          </cell>
          <cell r="D137">
            <v>14.8935136249032</v>
          </cell>
        </row>
        <row r="138">
          <cell r="C138">
            <v>16.608373353831901</v>
          </cell>
          <cell r="D138">
            <v>14.556514450465301</v>
          </cell>
        </row>
        <row r="139">
          <cell r="C139">
            <v>7.8389692418971597</v>
          </cell>
          <cell r="D139">
            <v>7.7967387538806303</v>
          </cell>
        </row>
        <row r="140">
          <cell r="C140">
            <v>23.4067586086848</v>
          </cell>
          <cell r="D140">
            <v>17.834733444183001</v>
          </cell>
        </row>
        <row r="141">
          <cell r="C141">
            <v>13.384567841782999</v>
          </cell>
          <cell r="D141">
            <v>12.893356101163301</v>
          </cell>
        </row>
        <row r="142">
          <cell r="C142">
            <v>14.113729967302101</v>
          </cell>
          <cell r="D142">
            <v>15.5245420357002</v>
          </cell>
        </row>
        <row r="143">
          <cell r="C143">
            <v>23.653571377141201</v>
          </cell>
          <cell r="D143">
            <v>14.1816934026407</v>
          </cell>
        </row>
        <row r="144">
          <cell r="C144">
            <v>10.1962583827194</v>
          </cell>
          <cell r="D144">
            <v>14.312558168005699</v>
          </cell>
        </row>
        <row r="145">
          <cell r="C145">
            <v>9.0923169292661505</v>
          </cell>
          <cell r="D145">
            <v>11.5008742795277</v>
          </cell>
        </row>
        <row r="146">
          <cell r="C146">
            <v>9.1299413971242096</v>
          </cell>
          <cell r="D146">
            <v>17.7749145544995</v>
          </cell>
        </row>
        <row r="147">
          <cell r="C147">
            <v>8.3909114358886594</v>
          </cell>
          <cell r="D147">
            <v>8.4856655975586204</v>
          </cell>
        </row>
        <row r="148">
          <cell r="C148">
            <v>19.381524644561001</v>
          </cell>
          <cell r="D148">
            <v>14.616172435686201</v>
          </cell>
        </row>
        <row r="149">
          <cell r="C149">
            <v>18.339771693457902</v>
          </cell>
          <cell r="D149">
            <v>19.311930955833301</v>
          </cell>
        </row>
        <row r="150">
          <cell r="C150">
            <v>16.260970782808499</v>
          </cell>
          <cell r="D150">
            <v>10.4690054414244</v>
          </cell>
        </row>
        <row r="151">
          <cell r="C151">
            <v>12.1484923366166</v>
          </cell>
          <cell r="D151">
            <v>13.571360952218701</v>
          </cell>
        </row>
        <row r="152">
          <cell r="C152">
            <v>13.1252464251729</v>
          </cell>
          <cell r="D152">
            <v>12.6876475220275</v>
          </cell>
        </row>
        <row r="153">
          <cell r="C153">
            <v>13.173224104748501</v>
          </cell>
          <cell r="D153">
            <v>13.075679821516999</v>
          </cell>
        </row>
        <row r="154">
          <cell r="C154">
            <v>19.659987639210801</v>
          </cell>
          <cell r="D154">
            <v>13.069917525368099</v>
          </cell>
        </row>
        <row r="155">
          <cell r="C155">
            <v>18.1161268485805</v>
          </cell>
          <cell r="D155">
            <v>10.648401876235299</v>
          </cell>
        </row>
        <row r="156">
          <cell r="C156">
            <v>15.1465362366493</v>
          </cell>
          <cell r="D156">
            <v>14.524847575944101</v>
          </cell>
        </row>
        <row r="157">
          <cell r="C157">
            <v>12.6428242909868</v>
          </cell>
          <cell r="D157">
            <v>11.955104180174001</v>
          </cell>
        </row>
        <row r="158">
          <cell r="C158">
            <v>14.9328872555724</v>
          </cell>
          <cell r="D158">
            <v>13.430882486421799</v>
          </cell>
        </row>
        <row r="159">
          <cell r="C159">
            <v>21.236916460455902</v>
          </cell>
          <cell r="D159">
            <v>15.7554837851628</v>
          </cell>
        </row>
        <row r="160">
          <cell r="C160">
            <v>12.4043482513987</v>
          </cell>
          <cell r="D160">
            <v>10.2424594587548</v>
          </cell>
        </row>
        <row r="161">
          <cell r="C161">
            <v>24.3282768043169</v>
          </cell>
          <cell r="D161">
            <v>15.092852559991099</v>
          </cell>
        </row>
        <row r="162">
          <cell r="C162">
            <v>15.512659164886299</v>
          </cell>
          <cell r="D162">
            <v>13.3916188056981</v>
          </cell>
        </row>
        <row r="163">
          <cell r="C163">
            <v>12.3935423018712</v>
          </cell>
          <cell r="D163">
            <v>12.2564172700363</v>
          </cell>
        </row>
        <row r="164">
          <cell r="C164">
            <v>17.579297789503698</v>
          </cell>
          <cell r="D164">
            <v>19.339737602739302</v>
          </cell>
        </row>
        <row r="165">
          <cell r="C165">
            <v>8.5896588408241499</v>
          </cell>
          <cell r="D165">
            <v>13.6665978492119</v>
          </cell>
        </row>
        <row r="166">
          <cell r="C166">
            <v>7.4816880646221602</v>
          </cell>
          <cell r="D166">
            <v>12.624007623973901</v>
          </cell>
        </row>
        <row r="167">
          <cell r="C167">
            <v>14.206390463468299</v>
          </cell>
          <cell r="D167">
            <v>14.817959939778101</v>
          </cell>
        </row>
        <row r="168">
          <cell r="C168">
            <v>13.4110300799972</v>
          </cell>
          <cell r="D168">
            <v>10.224654640200299</v>
          </cell>
        </row>
        <row r="169">
          <cell r="C169">
            <v>10.948396491326999</v>
          </cell>
          <cell r="D169">
            <v>15.0168645368197</v>
          </cell>
        </row>
        <row r="170">
          <cell r="C170">
            <v>15.8773059419986</v>
          </cell>
          <cell r="D170">
            <v>13.5767790708205</v>
          </cell>
        </row>
        <row r="171">
          <cell r="C171">
            <v>16.623131917821301</v>
          </cell>
          <cell r="D171">
            <v>18.429304238668099</v>
          </cell>
        </row>
        <row r="172">
          <cell r="C172">
            <v>12.5552427851872</v>
          </cell>
          <cell r="D172">
            <v>14.7180100490118</v>
          </cell>
        </row>
        <row r="173">
          <cell r="C173">
            <v>12.592094857517299</v>
          </cell>
          <cell r="D173">
            <v>18.7667016854206</v>
          </cell>
        </row>
        <row r="174">
          <cell r="C174">
            <v>17.961449145292999</v>
          </cell>
          <cell r="D174">
            <v>17.432208229196799</v>
          </cell>
        </row>
        <row r="175">
          <cell r="C175">
            <v>14.1705759874083</v>
          </cell>
          <cell r="D175">
            <v>17.702897190276499</v>
          </cell>
        </row>
        <row r="176">
          <cell r="C176">
            <v>9.1383453996650097</v>
          </cell>
          <cell r="D176">
            <v>11.156779864772799</v>
          </cell>
        </row>
        <row r="177">
          <cell r="C177">
            <v>7.41359162451801</v>
          </cell>
          <cell r="D177">
            <v>8.3635787739213399</v>
          </cell>
        </row>
        <row r="178">
          <cell r="C178">
            <v>9.0065009459389493</v>
          </cell>
          <cell r="D178">
            <v>9.8859895735006003</v>
          </cell>
        </row>
        <row r="179">
          <cell r="C179">
            <v>18.7267670385787</v>
          </cell>
          <cell r="D179">
            <v>12.1163600418553</v>
          </cell>
        </row>
        <row r="180">
          <cell r="C180">
            <v>24.867671583381</v>
          </cell>
          <cell r="D180">
            <v>16.1117059975738</v>
          </cell>
        </row>
        <row r="181">
          <cell r="C181">
            <v>9.3600845832948103</v>
          </cell>
          <cell r="D181">
            <v>15.4239389240936</v>
          </cell>
        </row>
        <row r="182">
          <cell r="C182">
            <v>16.312833673882501</v>
          </cell>
          <cell r="D182">
            <v>22.449473364547899</v>
          </cell>
        </row>
        <row r="183">
          <cell r="C183">
            <v>13.571421221791899</v>
          </cell>
          <cell r="D183">
            <v>11.867726193711301</v>
          </cell>
        </row>
        <row r="184">
          <cell r="C184">
            <v>5.46455375096944</v>
          </cell>
          <cell r="D184">
            <v>9.2099137871603993</v>
          </cell>
        </row>
        <row r="185">
          <cell r="C185">
            <v>14.241236207621601</v>
          </cell>
          <cell r="D185">
            <v>16.072799401406201</v>
          </cell>
        </row>
        <row r="186">
          <cell r="C186">
            <v>11.8882686073371</v>
          </cell>
          <cell r="D186">
            <v>9.4077383272876798</v>
          </cell>
        </row>
        <row r="187">
          <cell r="C187">
            <v>15.3570002470461</v>
          </cell>
          <cell r="D187">
            <v>15.184447880477</v>
          </cell>
        </row>
        <row r="188">
          <cell r="C188">
            <v>16.2366188122868</v>
          </cell>
          <cell r="D188">
            <v>11.9228080798364</v>
          </cell>
        </row>
        <row r="189">
          <cell r="C189">
            <v>16.963585543671599</v>
          </cell>
          <cell r="D189">
            <v>15.2340963673256</v>
          </cell>
        </row>
        <row r="190">
          <cell r="C190">
            <v>12.576603140965799</v>
          </cell>
          <cell r="D190">
            <v>15.6088503269926</v>
          </cell>
        </row>
        <row r="191">
          <cell r="C191">
            <v>16.242576387657099</v>
          </cell>
          <cell r="D191">
            <v>12.123907749162001</v>
          </cell>
        </row>
        <row r="192">
          <cell r="C192">
            <v>20.776742523966501</v>
          </cell>
          <cell r="D192">
            <v>16.7822940768751</v>
          </cell>
        </row>
        <row r="193">
          <cell r="C193">
            <v>23.428199397161698</v>
          </cell>
          <cell r="D193">
            <v>17.048536158812201</v>
          </cell>
        </row>
        <row r="194">
          <cell r="C194">
            <v>16.107046872065101</v>
          </cell>
          <cell r="D194">
            <v>7.1744570572497297</v>
          </cell>
        </row>
        <row r="195">
          <cell r="C195">
            <v>21.377130610643999</v>
          </cell>
          <cell r="D195">
            <v>14.2795616086119</v>
          </cell>
        </row>
        <row r="196">
          <cell r="C196">
            <v>6.0865904629255896</v>
          </cell>
          <cell r="D196">
            <v>5.72176080749185</v>
          </cell>
        </row>
        <row r="197">
          <cell r="C197">
            <v>13.1926586898644</v>
          </cell>
          <cell r="D197">
            <v>17.147331277127002</v>
          </cell>
        </row>
        <row r="198">
          <cell r="C198">
            <v>15.5580712818994</v>
          </cell>
          <cell r="D198">
            <v>13.7476077317012</v>
          </cell>
        </row>
        <row r="199">
          <cell r="C199">
            <v>19.076862552972798</v>
          </cell>
          <cell r="D199">
            <v>18.466938431369002</v>
          </cell>
        </row>
        <row r="200">
          <cell r="C200">
            <v>14.029104359223</v>
          </cell>
          <cell r="D200">
            <v>7.3066140165917597</v>
          </cell>
        </row>
        <row r="201">
          <cell r="C201">
            <v>19.428514851084699</v>
          </cell>
          <cell r="D201">
            <v>12.23218928376</v>
          </cell>
        </row>
        <row r="202">
          <cell r="C202">
            <v>18.178893680174099</v>
          </cell>
          <cell r="D202">
            <v>14.2963938607103</v>
          </cell>
        </row>
        <row r="203">
          <cell r="C203">
            <v>10.280392263184099</v>
          </cell>
          <cell r="D203">
            <v>7.62055875554534</v>
          </cell>
        </row>
        <row r="204">
          <cell r="C204">
            <v>16.541525621587599</v>
          </cell>
          <cell r="D204">
            <v>18.8984904061926</v>
          </cell>
        </row>
        <row r="205">
          <cell r="C205">
            <v>19.526901026017502</v>
          </cell>
          <cell r="D205">
            <v>17.270273847432499</v>
          </cell>
        </row>
        <row r="206">
          <cell r="C206">
            <v>10.3111653160215</v>
          </cell>
          <cell r="D206">
            <v>13.4484509060946</v>
          </cell>
        </row>
        <row r="207">
          <cell r="C207">
            <v>12.5310874800424</v>
          </cell>
          <cell r="D207">
            <v>12.972375441235</v>
          </cell>
        </row>
        <row r="208">
          <cell r="C208">
            <v>14.2575176336043</v>
          </cell>
          <cell r="D208">
            <v>11.595320719803</v>
          </cell>
        </row>
        <row r="209">
          <cell r="C209">
            <v>16.2568929754561</v>
          </cell>
          <cell r="D209">
            <v>9.1696915503658101</v>
          </cell>
        </row>
        <row r="210">
          <cell r="C210">
            <v>12.257523843153001</v>
          </cell>
          <cell r="D210">
            <v>16.448336738348701</v>
          </cell>
        </row>
        <row r="211">
          <cell r="C211">
            <v>15.9263657453274</v>
          </cell>
          <cell r="D211">
            <v>18.591826771958999</v>
          </cell>
        </row>
        <row r="212">
          <cell r="C212">
            <v>11.2854452553466</v>
          </cell>
          <cell r="D212">
            <v>11.1577807629894</v>
          </cell>
        </row>
        <row r="213">
          <cell r="C213">
            <v>16.567782820090301</v>
          </cell>
          <cell r="D213">
            <v>13.9728352989555</v>
          </cell>
        </row>
        <row r="214">
          <cell r="C214">
            <v>16.477000881746601</v>
          </cell>
          <cell r="D214">
            <v>12.589640475675401</v>
          </cell>
        </row>
        <row r="215">
          <cell r="C215">
            <v>13.3256956256529</v>
          </cell>
          <cell r="D215">
            <v>14.3716586072818</v>
          </cell>
        </row>
        <row r="216">
          <cell r="C216">
            <v>16.842365377679801</v>
          </cell>
          <cell r="D216">
            <v>16.170774142705099</v>
          </cell>
        </row>
        <row r="217">
          <cell r="C217">
            <v>10.3794846102466</v>
          </cell>
          <cell r="D217">
            <v>15.1994789621463</v>
          </cell>
        </row>
        <row r="218">
          <cell r="C218">
            <v>11.613587392731199</v>
          </cell>
          <cell r="D218">
            <v>8.6501852095679403</v>
          </cell>
        </row>
        <row r="219">
          <cell r="C219">
            <v>12.881590696629999</v>
          </cell>
          <cell r="D219">
            <v>14.6698748833244</v>
          </cell>
        </row>
        <row r="220">
          <cell r="C220">
            <v>14.7573182260855</v>
          </cell>
          <cell r="D220">
            <v>8.7653389998218803</v>
          </cell>
        </row>
        <row r="221">
          <cell r="C221">
            <v>9.0409370696931592</v>
          </cell>
          <cell r="D221">
            <v>8.3133680659232692</v>
          </cell>
        </row>
        <row r="222">
          <cell r="C222">
            <v>7.1573292833367503</v>
          </cell>
          <cell r="D222">
            <v>12.956919972586199</v>
          </cell>
        </row>
        <row r="223">
          <cell r="C223">
            <v>13.066367403704101</v>
          </cell>
          <cell r="D223">
            <v>11.553318371481801</v>
          </cell>
        </row>
        <row r="224">
          <cell r="C224">
            <v>19.343130095187298</v>
          </cell>
          <cell r="D224">
            <v>12.7151451524128</v>
          </cell>
        </row>
        <row r="225">
          <cell r="C225">
            <v>11.1936420644052</v>
          </cell>
          <cell r="D225">
            <v>15.6210988459333</v>
          </cell>
        </row>
        <row r="226">
          <cell r="C226">
            <v>9.7640340671052801</v>
          </cell>
          <cell r="D226">
            <v>14.052133215763901</v>
          </cell>
        </row>
        <row r="227">
          <cell r="C227">
            <v>18.5444752984837</v>
          </cell>
          <cell r="D227">
            <v>11.5900820369129</v>
          </cell>
        </row>
        <row r="228">
          <cell r="C228">
            <v>17.0321400095477</v>
          </cell>
          <cell r="D228">
            <v>3.0052545539187698</v>
          </cell>
        </row>
        <row r="229">
          <cell r="C229">
            <v>17.461127611035401</v>
          </cell>
          <cell r="D229">
            <v>11.1363910505715</v>
          </cell>
        </row>
        <row r="230">
          <cell r="C230">
            <v>12.642348145370001</v>
          </cell>
          <cell r="D230">
            <v>15.3530776334841</v>
          </cell>
        </row>
        <row r="231">
          <cell r="C231">
            <v>20.339798874467299</v>
          </cell>
          <cell r="D231">
            <v>17.623771690471798</v>
          </cell>
        </row>
        <row r="232">
          <cell r="C232">
            <v>12.6348166841414</v>
          </cell>
          <cell r="D232">
            <v>14.824961768667601</v>
          </cell>
        </row>
        <row r="233">
          <cell r="C233">
            <v>13.108229294791</v>
          </cell>
          <cell r="D233">
            <v>12.741144868290601</v>
          </cell>
        </row>
        <row r="234">
          <cell r="C234">
            <v>18.0227859199519</v>
          </cell>
          <cell r="D234">
            <v>11.5909038018345</v>
          </cell>
        </row>
        <row r="235">
          <cell r="C235">
            <v>20.6741998261971</v>
          </cell>
          <cell r="D235">
            <v>15.957554632655601</v>
          </cell>
        </row>
        <row r="236">
          <cell r="C236">
            <v>11.071972044662701</v>
          </cell>
          <cell r="D236">
            <v>11.8915837815305</v>
          </cell>
        </row>
        <row r="237">
          <cell r="C237">
            <v>18.316959511158998</v>
          </cell>
          <cell r="D237">
            <v>14.1054861306371</v>
          </cell>
        </row>
        <row r="238">
          <cell r="C238">
            <v>16.987428706671199</v>
          </cell>
          <cell r="D238">
            <v>16.4087110153997</v>
          </cell>
        </row>
        <row r="239">
          <cell r="C239">
            <v>15.0932271573847</v>
          </cell>
          <cell r="D239">
            <v>15.605534886812499</v>
          </cell>
        </row>
        <row r="240">
          <cell r="C240">
            <v>12.6691067676158</v>
          </cell>
          <cell r="D240">
            <v>12.411071353032201</v>
          </cell>
        </row>
        <row r="241">
          <cell r="C241">
            <v>21.426216667398101</v>
          </cell>
          <cell r="D241">
            <v>15.780962394058299</v>
          </cell>
        </row>
        <row r="242">
          <cell r="C242">
            <v>13.6037396307837</v>
          </cell>
          <cell r="D242">
            <v>12.920992290964399</v>
          </cell>
        </row>
        <row r="243">
          <cell r="C243">
            <v>11.9426317792666</v>
          </cell>
          <cell r="D243">
            <v>15.1119298969961</v>
          </cell>
        </row>
        <row r="244">
          <cell r="C244">
            <v>12.252493639490201</v>
          </cell>
          <cell r="D244">
            <v>17.139588115991899</v>
          </cell>
        </row>
        <row r="245">
          <cell r="C245">
            <v>22.432877597085099</v>
          </cell>
          <cell r="D245">
            <v>18.0770219359195</v>
          </cell>
        </row>
        <row r="246">
          <cell r="C246">
            <v>18.399851796472099</v>
          </cell>
          <cell r="D246">
            <v>13.2050015428806</v>
          </cell>
        </row>
        <row r="247">
          <cell r="C247">
            <v>20.832749382079498</v>
          </cell>
          <cell r="D247">
            <v>16.410498769703398</v>
          </cell>
        </row>
        <row r="248">
          <cell r="C248">
            <v>12.7625273444195</v>
          </cell>
          <cell r="D248">
            <v>9.9863709284476005</v>
          </cell>
        </row>
        <row r="249">
          <cell r="C249">
            <v>11.6733353837131</v>
          </cell>
          <cell r="D249">
            <v>10.278096125239299</v>
          </cell>
        </row>
        <row r="250">
          <cell r="C250">
            <v>14.882727120140601</v>
          </cell>
          <cell r="D250">
            <v>11.1144950261529</v>
          </cell>
        </row>
        <row r="251">
          <cell r="C251">
            <v>10.2024908554805</v>
          </cell>
          <cell r="D251">
            <v>15.524733249273201</v>
          </cell>
        </row>
        <row r="252">
          <cell r="C252">
            <v>22.3695580228325</v>
          </cell>
          <cell r="D252">
            <v>17.3399006534267</v>
          </cell>
        </row>
        <row r="253">
          <cell r="C253">
            <v>15.4589309735274</v>
          </cell>
          <cell r="D253">
            <v>13.6896255937794</v>
          </cell>
        </row>
        <row r="254">
          <cell r="C254">
            <v>26.0610780985063</v>
          </cell>
          <cell r="D254">
            <v>17.547493797688201</v>
          </cell>
        </row>
        <row r="255">
          <cell r="C255">
            <v>15.516232630275599</v>
          </cell>
          <cell r="D255">
            <v>13.933968741826799</v>
          </cell>
        </row>
        <row r="256">
          <cell r="C256">
            <v>11.240315017023001</v>
          </cell>
          <cell r="D256">
            <v>15.045733601965001</v>
          </cell>
        </row>
        <row r="257">
          <cell r="C257">
            <v>15.7578829635669</v>
          </cell>
          <cell r="D257">
            <v>8.1179702546868704</v>
          </cell>
        </row>
        <row r="258">
          <cell r="C258">
            <v>7.6334555745933104</v>
          </cell>
          <cell r="D258">
            <v>10.371355750410499</v>
          </cell>
        </row>
        <row r="259">
          <cell r="C259">
            <v>20.6461652671906</v>
          </cell>
          <cell r="D259">
            <v>17.008002809339899</v>
          </cell>
        </row>
        <row r="260">
          <cell r="C260">
            <v>10.221909714073099</v>
          </cell>
          <cell r="D260">
            <v>12.3219200052316</v>
          </cell>
        </row>
        <row r="261">
          <cell r="C261">
            <v>17.387317026714701</v>
          </cell>
          <cell r="D261">
            <v>11.623326681796099</v>
          </cell>
        </row>
        <row r="262">
          <cell r="C262">
            <v>11.536534764211</v>
          </cell>
          <cell r="D262">
            <v>16.136270958977299</v>
          </cell>
        </row>
        <row r="263">
          <cell r="C263">
            <v>12.970237321969099</v>
          </cell>
          <cell r="D263">
            <v>13.1512748022029</v>
          </cell>
        </row>
        <row r="264">
          <cell r="C264">
            <v>15.379366329965499</v>
          </cell>
          <cell r="D264">
            <v>17.243524077586098</v>
          </cell>
        </row>
        <row r="265">
          <cell r="C265">
            <v>8.4878061793328605</v>
          </cell>
          <cell r="D265">
            <v>10.1161532668758</v>
          </cell>
        </row>
        <row r="266">
          <cell r="C266">
            <v>12.873715924303401</v>
          </cell>
          <cell r="D266">
            <v>15.3460638391181</v>
          </cell>
        </row>
        <row r="267">
          <cell r="C267">
            <v>16.376108409017601</v>
          </cell>
          <cell r="D267">
            <v>14.694386285092</v>
          </cell>
        </row>
        <row r="268">
          <cell r="C268">
            <v>15.816205651965801</v>
          </cell>
          <cell r="D268">
            <v>15.4439708080715</v>
          </cell>
        </row>
        <row r="269">
          <cell r="C269">
            <v>16.284929311019699</v>
          </cell>
          <cell r="D269">
            <v>12.9490594718488</v>
          </cell>
        </row>
        <row r="270">
          <cell r="C270">
            <v>16.779977756651501</v>
          </cell>
          <cell r="D270">
            <v>12.583185708851101</v>
          </cell>
        </row>
        <row r="271">
          <cell r="C271">
            <v>22.065370288643098</v>
          </cell>
          <cell r="D271">
            <v>18.885335667289201</v>
          </cell>
        </row>
        <row r="272">
          <cell r="C272">
            <v>13.7206366445331</v>
          </cell>
          <cell r="D272">
            <v>14.106328648840501</v>
          </cell>
        </row>
        <row r="273">
          <cell r="C273">
            <v>11.2820689244103</v>
          </cell>
          <cell r="D273">
            <v>8.8369622790466007</v>
          </cell>
        </row>
        <row r="274">
          <cell r="C274">
            <v>19.5815818760775</v>
          </cell>
          <cell r="D274">
            <v>14.952725486722001</v>
          </cell>
        </row>
        <row r="275">
          <cell r="C275">
            <v>15.005116530509801</v>
          </cell>
          <cell r="D275">
            <v>14.476589567222501</v>
          </cell>
        </row>
        <row r="276">
          <cell r="C276">
            <v>20.509245674475999</v>
          </cell>
          <cell r="D276">
            <v>9.1898445612457191</v>
          </cell>
        </row>
        <row r="277">
          <cell r="C277">
            <v>13.231051737131599</v>
          </cell>
          <cell r="D277">
            <v>15.9680657213444</v>
          </cell>
        </row>
        <row r="278">
          <cell r="C278">
            <v>17.099529847786702</v>
          </cell>
          <cell r="D278">
            <v>14.4222672389342</v>
          </cell>
        </row>
        <row r="279">
          <cell r="C279">
            <v>15.6998915614206</v>
          </cell>
          <cell r="D279">
            <v>15.1460960538134</v>
          </cell>
        </row>
        <row r="280">
          <cell r="C280">
            <v>9.0349010424950098</v>
          </cell>
          <cell r="D280">
            <v>15.0727305421733</v>
          </cell>
        </row>
        <row r="281">
          <cell r="C281">
            <v>14.8073432015691</v>
          </cell>
          <cell r="D281">
            <v>13.475575098213501</v>
          </cell>
        </row>
        <row r="282">
          <cell r="C282">
            <v>17.056758672625602</v>
          </cell>
          <cell r="D282">
            <v>12.2775744273328</v>
          </cell>
        </row>
        <row r="283">
          <cell r="C283">
            <v>18.331065337260501</v>
          </cell>
          <cell r="D283">
            <v>10.121563158584101</v>
          </cell>
        </row>
        <row r="284">
          <cell r="C284">
            <v>13.7930084080727</v>
          </cell>
          <cell r="D284">
            <v>14.9631448319368</v>
          </cell>
        </row>
        <row r="285">
          <cell r="C285">
            <v>16.381092250586601</v>
          </cell>
          <cell r="D285">
            <v>18.042734693664901</v>
          </cell>
        </row>
        <row r="286">
          <cell r="C286">
            <v>10.0665166873281</v>
          </cell>
          <cell r="D286">
            <v>7.2920266539287502</v>
          </cell>
        </row>
        <row r="287">
          <cell r="C287">
            <v>11.0239561002388</v>
          </cell>
          <cell r="D287">
            <v>12.38286670938</v>
          </cell>
        </row>
        <row r="288">
          <cell r="C288">
            <v>20.9241074524822</v>
          </cell>
          <cell r="D288">
            <v>13.157098775687199</v>
          </cell>
        </row>
        <row r="289">
          <cell r="C289">
            <v>19.294158603242298</v>
          </cell>
          <cell r="D289">
            <v>13.693274630996701</v>
          </cell>
        </row>
        <row r="290">
          <cell r="C290">
            <v>16.140495933867498</v>
          </cell>
          <cell r="D290">
            <v>16.519262814544899</v>
          </cell>
        </row>
        <row r="291">
          <cell r="C291">
            <v>10.6886502400897</v>
          </cell>
          <cell r="D291">
            <v>16.679256566181699</v>
          </cell>
        </row>
        <row r="292">
          <cell r="C292">
            <v>11.8959388748214</v>
          </cell>
          <cell r="D292">
            <v>13.451956657493801</v>
          </cell>
        </row>
        <row r="293">
          <cell r="C293">
            <v>16.753499532670599</v>
          </cell>
          <cell r="D293">
            <v>18.587890424085501</v>
          </cell>
        </row>
        <row r="294">
          <cell r="C294">
            <v>20.7053176215279</v>
          </cell>
          <cell r="D294">
            <v>15.587223724541101</v>
          </cell>
        </row>
        <row r="295">
          <cell r="C295">
            <v>12.424801048510499</v>
          </cell>
          <cell r="D295">
            <v>11.2637583530274</v>
          </cell>
        </row>
        <row r="296">
          <cell r="C296">
            <v>20.1785077429825</v>
          </cell>
          <cell r="D296">
            <v>16.7286951298079</v>
          </cell>
        </row>
        <row r="297">
          <cell r="C297">
            <v>10.653545202369701</v>
          </cell>
          <cell r="D297">
            <v>11.166486248239099</v>
          </cell>
        </row>
        <row r="298">
          <cell r="C298">
            <v>22.449799937716602</v>
          </cell>
          <cell r="D298">
            <v>15.1601436632673</v>
          </cell>
        </row>
        <row r="299">
          <cell r="C299">
            <v>16.153649760438299</v>
          </cell>
          <cell r="D299">
            <v>17.474562880150899</v>
          </cell>
        </row>
        <row r="300">
          <cell r="C300">
            <v>10.4064310594195</v>
          </cell>
          <cell r="D300">
            <v>14.4915402603456</v>
          </cell>
        </row>
        <row r="301">
          <cell r="C301">
            <v>20.314814420961799</v>
          </cell>
          <cell r="D301">
            <v>15.7541505834115</v>
          </cell>
        </row>
        <row r="302">
          <cell r="C302">
            <v>16.585502494539</v>
          </cell>
          <cell r="D302">
            <v>11.1569140596085</v>
          </cell>
        </row>
        <row r="303">
          <cell r="C303">
            <v>12.719909479901499</v>
          </cell>
          <cell r="D303">
            <v>11.1615037553041</v>
          </cell>
        </row>
        <row r="304">
          <cell r="C304">
            <v>15.3736468025616</v>
          </cell>
          <cell r="D304">
            <v>12.3924749511204</v>
          </cell>
        </row>
        <row r="305">
          <cell r="C305">
            <v>19.305185132716701</v>
          </cell>
          <cell r="D305">
            <v>13.240570585719601</v>
          </cell>
        </row>
        <row r="306">
          <cell r="C306">
            <v>16.989549203017901</v>
          </cell>
          <cell r="D306">
            <v>13.886616466739801</v>
          </cell>
        </row>
        <row r="307">
          <cell r="C307">
            <v>21.058663691654399</v>
          </cell>
          <cell r="D307">
            <v>14.4667673951854</v>
          </cell>
        </row>
        <row r="308">
          <cell r="C308">
            <v>13.638832447894201</v>
          </cell>
          <cell r="D308">
            <v>13.1674539797813</v>
          </cell>
        </row>
        <row r="309">
          <cell r="C309">
            <v>15.7042143055821</v>
          </cell>
          <cell r="D309">
            <v>16.856043716951898</v>
          </cell>
        </row>
        <row r="310">
          <cell r="C310">
            <v>15.273548690585001</v>
          </cell>
          <cell r="D310">
            <v>13.316822807974001</v>
          </cell>
        </row>
        <row r="311">
          <cell r="C311">
            <v>11.898903673783099</v>
          </cell>
          <cell r="D311">
            <v>11.012378368812101</v>
          </cell>
        </row>
        <row r="312">
          <cell r="C312">
            <v>3.8911593983863901</v>
          </cell>
          <cell r="D312">
            <v>10.017001080165899</v>
          </cell>
        </row>
        <row r="313">
          <cell r="C313">
            <v>19.549388425993602</v>
          </cell>
          <cell r="D313">
            <v>18.738651022415802</v>
          </cell>
        </row>
        <row r="314">
          <cell r="C314">
            <v>10.412708174494</v>
          </cell>
          <cell r="D314">
            <v>12.668379203789</v>
          </cell>
        </row>
        <row r="315">
          <cell r="C315">
            <v>18.406754818000302</v>
          </cell>
          <cell r="D315">
            <v>14.898181097920199</v>
          </cell>
        </row>
        <row r="316">
          <cell r="C316">
            <v>16.652739403577201</v>
          </cell>
          <cell r="D316">
            <v>10.512733764444899</v>
          </cell>
        </row>
        <row r="317">
          <cell r="C317">
            <v>7.0105019208163801</v>
          </cell>
          <cell r="D317">
            <v>11.280425724683999</v>
          </cell>
        </row>
        <row r="318">
          <cell r="C318">
            <v>15.3409764856475</v>
          </cell>
          <cell r="D318">
            <v>16.702963772782201</v>
          </cell>
        </row>
        <row r="319">
          <cell r="C319">
            <v>14.8448666217033</v>
          </cell>
          <cell r="D319">
            <v>14.933722650571999</v>
          </cell>
        </row>
        <row r="320">
          <cell r="C320">
            <v>19.162083176244199</v>
          </cell>
          <cell r="D320">
            <v>11.5686776944464</v>
          </cell>
        </row>
        <row r="321">
          <cell r="C321">
            <v>13.9349284728162</v>
          </cell>
          <cell r="D321">
            <v>11.935721789272501</v>
          </cell>
        </row>
        <row r="322">
          <cell r="C322">
            <v>19.0484979824964</v>
          </cell>
          <cell r="D322">
            <v>18.852906084073599</v>
          </cell>
        </row>
        <row r="323">
          <cell r="C323">
            <v>14.2975785127185</v>
          </cell>
          <cell r="D323">
            <v>8.8093833328945603</v>
          </cell>
        </row>
        <row r="324">
          <cell r="C324">
            <v>9.5908896583832597</v>
          </cell>
          <cell r="D324">
            <v>7.9605922127176099</v>
          </cell>
        </row>
        <row r="325">
          <cell r="C325">
            <v>17.046193637842698</v>
          </cell>
          <cell r="D325">
            <v>14.130040194724501</v>
          </cell>
        </row>
        <row r="326">
          <cell r="C326">
            <v>16.496991309250198</v>
          </cell>
          <cell r="D326">
            <v>9.8675247867703</v>
          </cell>
        </row>
        <row r="327">
          <cell r="C327">
            <v>15.3929056936061</v>
          </cell>
          <cell r="D327">
            <v>12.535489086078099</v>
          </cell>
        </row>
        <row r="328">
          <cell r="C328">
            <v>14.57905543675</v>
          </cell>
          <cell r="D328">
            <v>10.534392134405</v>
          </cell>
        </row>
        <row r="329">
          <cell r="C329">
            <v>13.395831346981501</v>
          </cell>
          <cell r="D329">
            <v>15.4550598500935</v>
          </cell>
        </row>
        <row r="330">
          <cell r="C330">
            <v>6.3120599085260798</v>
          </cell>
          <cell r="D330">
            <v>9.7356556355500494</v>
          </cell>
        </row>
        <row r="331">
          <cell r="C331">
            <v>15.3141727546321</v>
          </cell>
          <cell r="D331">
            <v>16.2445672839217</v>
          </cell>
        </row>
        <row r="332">
          <cell r="C332">
            <v>14.9938766135765</v>
          </cell>
          <cell r="D332">
            <v>12.1448445790774</v>
          </cell>
        </row>
        <row r="333">
          <cell r="C333">
            <v>10.5513728142571</v>
          </cell>
          <cell r="D333">
            <v>13.151666439708199</v>
          </cell>
        </row>
        <row r="334">
          <cell r="C334">
            <v>14.037902279096899</v>
          </cell>
          <cell r="D334">
            <v>11.1531897322578</v>
          </cell>
        </row>
        <row r="335">
          <cell r="C335">
            <v>16.661419144243901</v>
          </cell>
          <cell r="D335">
            <v>12.3877922517828</v>
          </cell>
        </row>
        <row r="336">
          <cell r="C336">
            <v>13.487559866708899</v>
          </cell>
          <cell r="D336">
            <v>21.001107601809601</v>
          </cell>
        </row>
        <row r="337">
          <cell r="C337">
            <v>14.9264713092489</v>
          </cell>
          <cell r="D337">
            <v>15.191152792670801</v>
          </cell>
        </row>
        <row r="338">
          <cell r="C338">
            <v>16.587251401603702</v>
          </cell>
          <cell r="D338">
            <v>15.3380246201838</v>
          </cell>
        </row>
        <row r="339">
          <cell r="C339">
            <v>7.8393070791734996</v>
          </cell>
          <cell r="D339">
            <v>8.7538113236033706</v>
          </cell>
        </row>
        <row r="340">
          <cell r="C340">
            <v>23.2064657271378</v>
          </cell>
          <cell r="D340">
            <v>18.296160588856701</v>
          </cell>
        </row>
        <row r="341">
          <cell r="C341">
            <v>13.718137723598</v>
          </cell>
          <cell r="D341">
            <v>14.0072394553422</v>
          </cell>
        </row>
        <row r="342">
          <cell r="C342">
            <v>13.5888898022168</v>
          </cell>
          <cell r="D342">
            <v>13.650945595322501</v>
          </cell>
        </row>
        <row r="343">
          <cell r="C343">
            <v>23.121843605746001</v>
          </cell>
          <cell r="D343">
            <v>14.076784324186001</v>
          </cell>
        </row>
        <row r="344">
          <cell r="C344">
            <v>11.1224832855544</v>
          </cell>
          <cell r="D344">
            <v>13.504322239078</v>
          </cell>
        </row>
        <row r="345">
          <cell r="C345">
            <v>8.74652841231444</v>
          </cell>
          <cell r="D345">
            <v>10.510039980214801</v>
          </cell>
        </row>
        <row r="346">
          <cell r="C346">
            <v>8.7644808471908409</v>
          </cell>
          <cell r="D346">
            <v>19.867427018916999</v>
          </cell>
        </row>
        <row r="347">
          <cell r="C347">
            <v>8.1160249686788202</v>
          </cell>
          <cell r="D347">
            <v>8.5354716071805203</v>
          </cell>
        </row>
        <row r="348">
          <cell r="C348">
            <v>19.275957829251301</v>
          </cell>
          <cell r="D348">
            <v>14.3429586817938</v>
          </cell>
        </row>
        <row r="349">
          <cell r="C349">
            <v>18.296268112811699</v>
          </cell>
          <cell r="D349">
            <v>18.925294673416101</v>
          </cell>
        </row>
        <row r="350">
          <cell r="C350">
            <v>15.640777889373799</v>
          </cell>
          <cell r="D350">
            <v>9.7811408679701408</v>
          </cell>
        </row>
        <row r="351">
          <cell r="C351">
            <v>11.8932764241441</v>
          </cell>
          <cell r="D351">
            <v>13.009487815126</v>
          </cell>
        </row>
        <row r="352">
          <cell r="C352">
            <v>13.155453782799</v>
          </cell>
          <cell r="D352">
            <v>11.9807713985189</v>
          </cell>
        </row>
        <row r="353">
          <cell r="C353">
            <v>13.7376781084748</v>
          </cell>
          <cell r="D353">
            <v>12.238474662360099</v>
          </cell>
        </row>
        <row r="354">
          <cell r="C354">
            <v>20.428829811600998</v>
          </cell>
          <cell r="D354">
            <v>11.5693588051221</v>
          </cell>
        </row>
        <row r="355">
          <cell r="C355">
            <v>17.920030735018301</v>
          </cell>
          <cell r="D355">
            <v>11.2078565435499</v>
          </cell>
        </row>
        <row r="356">
          <cell r="C356">
            <v>14.990491896048701</v>
          </cell>
          <cell r="D356">
            <v>13.6239464903091</v>
          </cell>
        </row>
        <row r="357">
          <cell r="C357">
            <v>12.498735317681099</v>
          </cell>
          <cell r="D357">
            <v>14.086085501845901</v>
          </cell>
        </row>
        <row r="358">
          <cell r="C358">
            <v>13.9907434320038</v>
          </cell>
          <cell r="D358">
            <v>14.1175293738891</v>
          </cell>
        </row>
        <row r="359">
          <cell r="C359">
            <v>20.855670680539902</v>
          </cell>
          <cell r="D359">
            <v>16.1876598032229</v>
          </cell>
        </row>
        <row r="360">
          <cell r="C360">
            <v>13.161359280169</v>
          </cell>
          <cell r="D360">
            <v>9.3654925129631099</v>
          </cell>
        </row>
        <row r="361">
          <cell r="C361">
            <v>23.5863845282238</v>
          </cell>
          <cell r="D361">
            <v>15.877758612151601</v>
          </cell>
        </row>
        <row r="362">
          <cell r="C362">
            <v>16.2596732571206</v>
          </cell>
          <cell r="D362">
            <v>12.785829927504199</v>
          </cell>
        </row>
        <row r="363">
          <cell r="C363">
            <v>12.7663694565013</v>
          </cell>
          <cell r="D363">
            <v>10.889043581236299</v>
          </cell>
        </row>
        <row r="364">
          <cell r="C364">
            <v>16.945619925771599</v>
          </cell>
          <cell r="D364">
            <v>20.522009487125299</v>
          </cell>
        </row>
        <row r="365">
          <cell r="C365">
            <v>9.2008558610494706</v>
          </cell>
          <cell r="D365">
            <v>13.8275723919222</v>
          </cell>
        </row>
        <row r="366">
          <cell r="C366">
            <v>7.3450719958555597</v>
          </cell>
          <cell r="D366">
            <v>12.587649206859099</v>
          </cell>
        </row>
        <row r="367">
          <cell r="C367">
            <v>13.7993897640571</v>
          </cell>
          <cell r="D367">
            <v>14.6113892033051</v>
          </cell>
        </row>
        <row r="368">
          <cell r="C368">
            <v>13.112046240905199</v>
          </cell>
          <cell r="D368">
            <v>11.6268498714769</v>
          </cell>
        </row>
        <row r="369">
          <cell r="C369">
            <v>10.006296200390899</v>
          </cell>
          <cell r="D369">
            <v>16.962085399406799</v>
          </cell>
        </row>
        <row r="370">
          <cell r="C370">
            <v>16.048838049274401</v>
          </cell>
          <cell r="D370">
            <v>14.447456475087201</v>
          </cell>
        </row>
        <row r="371">
          <cell r="C371">
            <v>16.6134951080723</v>
          </cell>
          <cell r="D371">
            <v>19.944077668094899</v>
          </cell>
        </row>
        <row r="372">
          <cell r="C372">
            <v>13.0122550871295</v>
          </cell>
          <cell r="D372">
            <v>15.2005435383979</v>
          </cell>
        </row>
        <row r="373">
          <cell r="C373">
            <v>13.248999145622699</v>
          </cell>
          <cell r="D373">
            <v>17.199468823701899</v>
          </cell>
        </row>
        <row r="374">
          <cell r="C374">
            <v>18.725571803897498</v>
          </cell>
          <cell r="D374">
            <v>17.646044484900798</v>
          </cell>
        </row>
        <row r="375">
          <cell r="C375">
            <v>14.479635413042599</v>
          </cell>
          <cell r="D375">
            <v>18.537055675181399</v>
          </cell>
        </row>
        <row r="376">
          <cell r="C376">
            <v>10.076591228755801</v>
          </cell>
          <cell r="D376">
            <v>11.0114629314964</v>
          </cell>
        </row>
        <row r="377">
          <cell r="C377">
            <v>6.6163262185559804</v>
          </cell>
          <cell r="D377">
            <v>8.8122161863035409</v>
          </cell>
        </row>
        <row r="378">
          <cell r="C378">
            <v>9.43616031836034</v>
          </cell>
          <cell r="D378">
            <v>9.2120633597471908</v>
          </cell>
        </row>
        <row r="379">
          <cell r="C379">
            <v>18.091671002869202</v>
          </cell>
          <cell r="D379">
            <v>11.403491361248401</v>
          </cell>
        </row>
        <row r="380">
          <cell r="C380">
            <v>26.0949014666088</v>
          </cell>
          <cell r="D380">
            <v>17.094612969249699</v>
          </cell>
        </row>
        <row r="381">
          <cell r="C381">
            <v>7.5958508573224197</v>
          </cell>
          <cell r="D381">
            <v>15.057781562134201</v>
          </cell>
        </row>
        <row r="382">
          <cell r="C382">
            <v>15.5801390789096</v>
          </cell>
          <cell r="D382">
            <v>22.336916579955101</v>
          </cell>
        </row>
        <row r="383">
          <cell r="C383">
            <v>13.700303677278001</v>
          </cell>
          <cell r="D383">
            <v>11.2236866823448</v>
          </cell>
        </row>
        <row r="384">
          <cell r="C384">
            <v>4.9380521378450997</v>
          </cell>
          <cell r="D384">
            <v>9.0331049765901703</v>
          </cell>
        </row>
        <row r="385">
          <cell r="C385">
            <v>13.737122489159599</v>
          </cell>
          <cell r="D385">
            <v>14.910724422641801</v>
          </cell>
        </row>
        <row r="386">
          <cell r="C386">
            <v>11.6204336692232</v>
          </cell>
          <cell r="D386">
            <v>9.6722852622984608</v>
          </cell>
        </row>
        <row r="387">
          <cell r="C387">
            <v>15.0751968932381</v>
          </cell>
          <cell r="D387">
            <v>15.767239977955001</v>
          </cell>
        </row>
        <row r="388">
          <cell r="C388">
            <v>16.170877987888598</v>
          </cell>
          <cell r="D388">
            <v>12.828106217698799</v>
          </cell>
        </row>
        <row r="389">
          <cell r="C389">
            <v>17.938085419607901</v>
          </cell>
          <cell r="D389">
            <v>16.150413481410801</v>
          </cell>
        </row>
        <row r="390">
          <cell r="C390">
            <v>13.475211919093001</v>
          </cell>
          <cell r="D390">
            <v>14.978499257390601</v>
          </cell>
        </row>
        <row r="391">
          <cell r="C391">
            <v>16.711548172168801</v>
          </cell>
          <cell r="D391">
            <v>11.560493773837001</v>
          </cell>
        </row>
        <row r="392">
          <cell r="C392">
            <v>20.550792664325801</v>
          </cell>
          <cell r="D392">
            <v>17.032930464214299</v>
          </cell>
        </row>
        <row r="393">
          <cell r="C393">
            <v>23.245959585753301</v>
          </cell>
          <cell r="D393">
            <v>17.528277752562001</v>
          </cell>
        </row>
        <row r="394">
          <cell r="C394">
            <v>15.3398833964897</v>
          </cell>
          <cell r="D394">
            <v>7.0292763652640202</v>
          </cell>
        </row>
        <row r="395">
          <cell r="C395">
            <v>22.9157293829272</v>
          </cell>
          <cell r="D395">
            <v>13.152274131836799</v>
          </cell>
        </row>
        <row r="396">
          <cell r="C396">
            <v>6.5897200603606398</v>
          </cell>
          <cell r="D396">
            <v>4.2387432682255399</v>
          </cell>
        </row>
        <row r="397">
          <cell r="C397">
            <v>12.7654121739477</v>
          </cell>
          <cell r="D397">
            <v>18.241549753658301</v>
          </cell>
        </row>
        <row r="398">
          <cell r="C398">
            <v>15.143432735454599</v>
          </cell>
          <cell r="D398">
            <v>13.9088315787069</v>
          </cell>
        </row>
        <row r="399">
          <cell r="C399">
            <v>19.676936187082699</v>
          </cell>
          <cell r="D399">
            <v>19.629123520577402</v>
          </cell>
        </row>
        <row r="400">
          <cell r="C400">
            <v>13.9427300773737</v>
          </cell>
          <cell r="D400">
            <v>7.6374421619363604</v>
          </cell>
        </row>
        <row r="401">
          <cell r="C401">
            <v>20.618908155986698</v>
          </cell>
          <cell r="D401">
            <v>11.9889082362756</v>
          </cell>
        </row>
      </sheetData>
      <sheetData sheetId="2">
        <row r="26">
          <cell r="A26" t="str">
            <v>[3, 5)</v>
          </cell>
          <cell r="D26">
            <v>4</v>
          </cell>
          <cell r="E26">
            <v>3</v>
          </cell>
          <cell r="F26">
            <v>3</v>
          </cell>
        </row>
        <row r="27">
          <cell r="A27" t="str">
            <v>[5, 7)</v>
          </cell>
          <cell r="D27">
            <v>6</v>
          </cell>
          <cell r="E27">
            <v>1</v>
          </cell>
          <cell r="F27">
            <v>4</v>
          </cell>
        </row>
        <row r="28">
          <cell r="A28" t="str">
            <v>[7, 9)</v>
          </cell>
          <cell r="D28">
            <v>8</v>
          </cell>
          <cell r="E28">
            <v>25</v>
          </cell>
          <cell r="F28">
            <v>29</v>
          </cell>
        </row>
        <row r="29">
          <cell r="A29" t="str">
            <v>[9, 11)</v>
          </cell>
          <cell r="D29">
            <v>10</v>
          </cell>
          <cell r="E29">
            <v>46</v>
          </cell>
          <cell r="F29">
            <v>75</v>
          </cell>
        </row>
        <row r="30">
          <cell r="A30" t="str">
            <v>[11, 13)</v>
          </cell>
          <cell r="D30">
            <v>12</v>
          </cell>
          <cell r="E30">
            <v>92</v>
          </cell>
          <cell r="F30">
            <v>167</v>
          </cell>
        </row>
        <row r="31">
          <cell r="A31" t="str">
            <v>[13, 15)</v>
          </cell>
          <cell r="D31">
            <v>14</v>
          </cell>
          <cell r="E31">
            <v>98</v>
          </cell>
          <cell r="F31">
            <v>265</v>
          </cell>
        </row>
        <row r="32">
          <cell r="A32" t="str">
            <v>[15, 17)</v>
          </cell>
          <cell r="D32">
            <v>16</v>
          </cell>
          <cell r="E32">
            <v>76</v>
          </cell>
          <cell r="F32">
            <v>341</v>
          </cell>
        </row>
        <row r="33">
          <cell r="A33" t="str">
            <v>[17, 19)</v>
          </cell>
          <cell r="D33">
            <v>18</v>
          </cell>
          <cell r="E33">
            <v>48</v>
          </cell>
          <cell r="F33">
            <v>389</v>
          </cell>
        </row>
        <row r="34">
          <cell r="A34" t="str">
            <v>[19, 21)</v>
          </cell>
          <cell r="D34">
            <v>20</v>
          </cell>
          <cell r="E34">
            <v>8</v>
          </cell>
          <cell r="F34">
            <v>397</v>
          </cell>
        </row>
        <row r="35">
          <cell r="A35" t="str">
            <v>[21, 23)</v>
          </cell>
          <cell r="D35">
            <v>22</v>
          </cell>
          <cell r="E35">
            <v>3</v>
          </cell>
          <cell r="F35">
            <v>400</v>
          </cell>
        </row>
      </sheetData>
      <sheetData sheetId="3">
        <row r="21">
          <cell r="B21" t="str">
            <v>Base (Mín)</v>
          </cell>
          <cell r="C21" t="str">
            <v>Q1-Mín</v>
          </cell>
          <cell r="D21" t="str">
            <v>Mediana-Q1</v>
          </cell>
          <cell r="E21" t="str">
            <v>Q3-Mediana</v>
          </cell>
          <cell r="F21" t="str">
            <v>Máx-Q3</v>
          </cell>
        </row>
        <row r="22">
          <cell r="A22" t="str">
            <v>Tiempo (h)</v>
          </cell>
          <cell r="B22">
            <v>3.0052545539187698</v>
          </cell>
          <cell r="C22">
            <v>8.553445369329431</v>
          </cell>
          <cell r="D22">
            <v>2.1194117982474499</v>
          </cell>
          <cell r="E22">
            <v>2.0763721623536746</v>
          </cell>
          <cell r="F22">
            <v>6.6949894806985739</v>
          </cell>
        </row>
      </sheetData>
      <sheetData sheetId="4">
        <row r="4">
          <cell r="B4" t="str">
            <v>Frecuencia</v>
          </cell>
        </row>
        <row r="5">
          <cell r="A5">
            <v>1</v>
          </cell>
          <cell r="B5">
            <v>0</v>
          </cell>
        </row>
        <row r="6">
          <cell r="A6">
            <v>2</v>
          </cell>
          <cell r="B6">
            <v>32</v>
          </cell>
        </row>
        <row r="7">
          <cell r="A7">
            <v>3</v>
          </cell>
          <cell r="B7">
            <v>106</v>
          </cell>
        </row>
        <row r="8">
          <cell r="A8">
            <v>4</v>
          </cell>
          <cell r="B8">
            <v>140</v>
          </cell>
        </row>
        <row r="9">
          <cell r="A9">
            <v>5</v>
          </cell>
          <cell r="B9">
            <v>122</v>
          </cell>
        </row>
      </sheetData>
      <sheetData sheetId="5">
        <row r="4">
          <cell r="B4" t="str">
            <v>Estructurados</v>
          </cell>
          <cell r="C4" t="str">
            <v>No Estructurados</v>
          </cell>
        </row>
        <row r="6">
          <cell r="B6">
            <v>13.67292167289189</v>
          </cell>
          <cell r="C6">
            <v>13.549694387588794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Regresion Lineal Multiple"/>
      <sheetName val="Regresion Lineal Simple"/>
      <sheetName val="Probabilidad"/>
    </sheetNames>
    <sheetDataSet>
      <sheetData sheetId="0">
        <row r="2">
          <cell r="B2" t="str">
            <v>No Estructurados</v>
          </cell>
        </row>
        <row r="3">
          <cell r="B3" t="str">
            <v>No Estructurados</v>
          </cell>
        </row>
        <row r="4">
          <cell r="B4" t="str">
            <v>No Estructurados</v>
          </cell>
        </row>
        <row r="5">
          <cell r="B5" t="str">
            <v>Estructurados</v>
          </cell>
        </row>
        <row r="6">
          <cell r="B6" t="str">
            <v>Estructurados</v>
          </cell>
        </row>
        <row r="7">
          <cell r="B7" t="str">
            <v>No Estructurados</v>
          </cell>
        </row>
        <row r="8">
          <cell r="B8" t="str">
            <v>Estructurados</v>
          </cell>
        </row>
        <row r="9">
          <cell r="B9" t="str">
            <v>No Estructurados</v>
          </cell>
        </row>
        <row r="10">
          <cell r="B10" t="str">
            <v>Estructurados</v>
          </cell>
        </row>
        <row r="11">
          <cell r="B11" t="str">
            <v>No Estructurados</v>
          </cell>
        </row>
        <row r="12">
          <cell r="B12" t="str">
            <v>No Estructurados</v>
          </cell>
        </row>
        <row r="13">
          <cell r="B13" t="str">
            <v>Estructurados</v>
          </cell>
        </row>
        <row r="14">
          <cell r="B14" t="str">
            <v>Estructurados</v>
          </cell>
        </row>
        <row r="15">
          <cell r="B15" t="str">
            <v>No Estructurados</v>
          </cell>
        </row>
        <row r="16">
          <cell r="B16" t="str">
            <v>No Estructurados</v>
          </cell>
        </row>
        <row r="17">
          <cell r="B17" t="str">
            <v>Estructurados</v>
          </cell>
        </row>
        <row r="18">
          <cell r="B18" t="str">
            <v>Estructurados</v>
          </cell>
        </row>
        <row r="19">
          <cell r="B19" t="str">
            <v>No Estructurados</v>
          </cell>
        </row>
        <row r="20">
          <cell r="B20" t="str">
            <v>Estructurados</v>
          </cell>
        </row>
        <row r="21">
          <cell r="B21" t="str">
            <v>No Estructurados</v>
          </cell>
        </row>
        <row r="22">
          <cell r="B22" t="str">
            <v>No Estructurados</v>
          </cell>
        </row>
        <row r="23">
          <cell r="B23" t="str">
            <v>No Estructurados</v>
          </cell>
        </row>
        <row r="24">
          <cell r="B24" t="str">
            <v>No Estructurados</v>
          </cell>
        </row>
        <row r="25">
          <cell r="B25" t="str">
            <v>Estructurados</v>
          </cell>
        </row>
        <row r="26">
          <cell r="B26" t="str">
            <v>Estructurados</v>
          </cell>
        </row>
        <row r="27">
          <cell r="B27" t="str">
            <v>Estructurados</v>
          </cell>
        </row>
        <row r="28">
          <cell r="B28" t="str">
            <v>Estructurados</v>
          </cell>
        </row>
        <row r="29">
          <cell r="B29" t="str">
            <v>Estructurados</v>
          </cell>
        </row>
        <row r="30">
          <cell r="B30" t="str">
            <v>Estructurados</v>
          </cell>
        </row>
        <row r="31">
          <cell r="B31" t="str">
            <v>Estructurados</v>
          </cell>
        </row>
        <row r="32">
          <cell r="B32" t="str">
            <v>No Estructurados</v>
          </cell>
        </row>
        <row r="33">
          <cell r="B33" t="str">
            <v>Estructurados</v>
          </cell>
        </row>
        <row r="34">
          <cell r="B34" t="str">
            <v>Estructurados</v>
          </cell>
        </row>
        <row r="35">
          <cell r="B35" t="str">
            <v>No Estructurados</v>
          </cell>
        </row>
        <row r="36">
          <cell r="B36" t="str">
            <v>Estructurados</v>
          </cell>
        </row>
        <row r="37">
          <cell r="B37" t="str">
            <v>Estructurados</v>
          </cell>
        </row>
        <row r="38">
          <cell r="B38" t="str">
            <v>No Estructurados</v>
          </cell>
        </row>
        <row r="39">
          <cell r="B39" t="str">
            <v>Estructurados</v>
          </cell>
        </row>
        <row r="40">
          <cell r="B40" t="str">
            <v>Estructurados</v>
          </cell>
        </row>
        <row r="41">
          <cell r="B41" t="str">
            <v>Estructurados</v>
          </cell>
        </row>
        <row r="42">
          <cell r="B42" t="str">
            <v>No Estructurados</v>
          </cell>
        </row>
        <row r="43">
          <cell r="B43" t="str">
            <v>Estructurados</v>
          </cell>
        </row>
        <row r="44">
          <cell r="B44" t="str">
            <v>Estructurados</v>
          </cell>
        </row>
        <row r="45">
          <cell r="B45" t="str">
            <v>No Estructurados</v>
          </cell>
        </row>
        <row r="46">
          <cell r="B46" t="str">
            <v>Estructurados</v>
          </cell>
        </row>
        <row r="47">
          <cell r="B47" t="str">
            <v>No Estructurados</v>
          </cell>
        </row>
        <row r="48">
          <cell r="B48" t="str">
            <v>No Estructurados</v>
          </cell>
        </row>
        <row r="49">
          <cell r="B49" t="str">
            <v>Estructurados</v>
          </cell>
        </row>
        <row r="50">
          <cell r="B50" t="str">
            <v>No Estructurados</v>
          </cell>
        </row>
        <row r="51">
          <cell r="B51" t="str">
            <v>No Estructurados</v>
          </cell>
        </row>
        <row r="52">
          <cell r="B52" t="str">
            <v>Estructurados</v>
          </cell>
        </row>
        <row r="53">
          <cell r="B53" t="str">
            <v>No Estructurados</v>
          </cell>
        </row>
        <row r="54">
          <cell r="B54" t="str">
            <v>No Estructurados</v>
          </cell>
        </row>
        <row r="55">
          <cell r="B55" t="str">
            <v>Estructurados</v>
          </cell>
        </row>
        <row r="56">
          <cell r="B56" t="str">
            <v>Estructurados</v>
          </cell>
        </row>
        <row r="57">
          <cell r="B57" t="str">
            <v>Estructurados</v>
          </cell>
        </row>
        <row r="58">
          <cell r="B58" t="str">
            <v>No Estructurados</v>
          </cell>
        </row>
        <row r="59">
          <cell r="B59" t="str">
            <v>Estructurados</v>
          </cell>
        </row>
        <row r="60">
          <cell r="B60" t="str">
            <v>No Estructurados</v>
          </cell>
        </row>
        <row r="61">
          <cell r="B61" t="str">
            <v>No Estructurados</v>
          </cell>
        </row>
        <row r="62">
          <cell r="B62" t="str">
            <v>No Estructurados</v>
          </cell>
        </row>
        <row r="63">
          <cell r="B63" t="str">
            <v>No Estructurados</v>
          </cell>
        </row>
        <row r="64">
          <cell r="B64" t="str">
            <v>No Estructurados</v>
          </cell>
        </row>
        <row r="65">
          <cell r="B65" t="str">
            <v>No Estructurados</v>
          </cell>
        </row>
        <row r="66">
          <cell r="B66" t="str">
            <v>No Estructurados</v>
          </cell>
        </row>
        <row r="67">
          <cell r="B67" t="str">
            <v>Estructurados</v>
          </cell>
        </row>
        <row r="68">
          <cell r="B68" t="str">
            <v>Estructurados</v>
          </cell>
        </row>
        <row r="69">
          <cell r="B69" t="str">
            <v>No Estructurados</v>
          </cell>
        </row>
        <row r="70">
          <cell r="B70" t="str">
            <v>No Estructurados</v>
          </cell>
        </row>
        <row r="71">
          <cell r="B71" t="str">
            <v>Estructurados</v>
          </cell>
        </row>
        <row r="72">
          <cell r="B72" t="str">
            <v>No Estructurados</v>
          </cell>
        </row>
        <row r="73">
          <cell r="B73" t="str">
            <v>Estructurados</v>
          </cell>
        </row>
        <row r="74">
          <cell r="B74" t="str">
            <v>Estructurados</v>
          </cell>
        </row>
        <row r="75">
          <cell r="B75" t="str">
            <v>Estructurados</v>
          </cell>
        </row>
        <row r="76">
          <cell r="B76" t="str">
            <v>No Estructurados</v>
          </cell>
        </row>
        <row r="77">
          <cell r="B77" t="str">
            <v>No Estructurados</v>
          </cell>
        </row>
        <row r="78">
          <cell r="B78" t="str">
            <v>Estructurados</v>
          </cell>
        </row>
        <row r="79">
          <cell r="B79" t="str">
            <v>Estructurados</v>
          </cell>
        </row>
        <row r="80">
          <cell r="B80" t="str">
            <v>Estructurados</v>
          </cell>
        </row>
        <row r="81">
          <cell r="B81" t="str">
            <v>Estructurados</v>
          </cell>
        </row>
        <row r="82">
          <cell r="B82" t="str">
            <v>Estructurados</v>
          </cell>
        </row>
        <row r="83">
          <cell r="B83" t="str">
            <v>No Estructurados</v>
          </cell>
        </row>
        <row r="84">
          <cell r="B84" t="str">
            <v>Estructurados</v>
          </cell>
        </row>
        <row r="85">
          <cell r="B85" t="str">
            <v>No Estructurados</v>
          </cell>
        </row>
        <row r="86">
          <cell r="B86" t="str">
            <v>Estructurados</v>
          </cell>
        </row>
        <row r="87">
          <cell r="B87" t="str">
            <v>No Estructurados</v>
          </cell>
        </row>
        <row r="88">
          <cell r="B88" t="str">
            <v>No Estructurados</v>
          </cell>
        </row>
        <row r="89">
          <cell r="B89" t="str">
            <v>No Estructurados</v>
          </cell>
        </row>
        <row r="90">
          <cell r="B90" t="str">
            <v>No Estructurados</v>
          </cell>
        </row>
        <row r="91">
          <cell r="B91" t="str">
            <v>No Estructurados</v>
          </cell>
        </row>
        <row r="92">
          <cell r="B92" t="str">
            <v>No Estructurados</v>
          </cell>
        </row>
        <row r="93">
          <cell r="B93" t="str">
            <v>Estructurados</v>
          </cell>
        </row>
        <row r="94">
          <cell r="B94" t="str">
            <v>No Estructurados</v>
          </cell>
        </row>
        <row r="95">
          <cell r="B95" t="str">
            <v>Estructurados</v>
          </cell>
        </row>
        <row r="96">
          <cell r="B96" t="str">
            <v>No Estructurados</v>
          </cell>
        </row>
        <row r="97">
          <cell r="B97" t="str">
            <v>No Estructurados</v>
          </cell>
        </row>
        <row r="98">
          <cell r="B98" t="str">
            <v>Estructurados</v>
          </cell>
        </row>
        <row r="99">
          <cell r="B99" t="str">
            <v>No Estructurados</v>
          </cell>
        </row>
        <row r="100">
          <cell r="B100" t="str">
            <v>Estructurados</v>
          </cell>
        </row>
        <row r="101">
          <cell r="B101" t="str">
            <v>Estructurados</v>
          </cell>
        </row>
        <row r="102">
          <cell r="B102" t="str">
            <v>Estructurados</v>
          </cell>
        </row>
        <row r="103">
          <cell r="B103" t="str">
            <v>Estructurados</v>
          </cell>
        </row>
        <row r="104">
          <cell r="B104" t="str">
            <v>No Estructurados</v>
          </cell>
        </row>
        <row r="105">
          <cell r="B105" t="str">
            <v>No Estructurados</v>
          </cell>
        </row>
        <row r="106">
          <cell r="B106" t="str">
            <v>Estructurados</v>
          </cell>
        </row>
        <row r="107">
          <cell r="B107" t="str">
            <v>No Estructurados</v>
          </cell>
        </row>
        <row r="108">
          <cell r="B108" t="str">
            <v>No Estructurados</v>
          </cell>
        </row>
        <row r="109">
          <cell r="B109" t="str">
            <v>Estructurados</v>
          </cell>
        </row>
        <row r="110">
          <cell r="B110" t="str">
            <v>No Estructurados</v>
          </cell>
        </row>
        <row r="111">
          <cell r="B111" t="str">
            <v>Estructurados</v>
          </cell>
        </row>
        <row r="112">
          <cell r="B112" t="str">
            <v>Estructurados</v>
          </cell>
        </row>
        <row r="113">
          <cell r="B113" t="str">
            <v>No Estructurados</v>
          </cell>
        </row>
        <row r="114">
          <cell r="B114" t="str">
            <v>No Estructurados</v>
          </cell>
        </row>
        <row r="115">
          <cell r="B115" t="str">
            <v>No Estructurados</v>
          </cell>
        </row>
        <row r="116">
          <cell r="B116" t="str">
            <v>Estructurados</v>
          </cell>
        </row>
        <row r="117">
          <cell r="B117" t="str">
            <v>Estructurados</v>
          </cell>
        </row>
        <row r="118">
          <cell r="B118" t="str">
            <v>No Estructurados</v>
          </cell>
        </row>
        <row r="119">
          <cell r="B119" t="str">
            <v>No Estructurados</v>
          </cell>
        </row>
        <row r="120">
          <cell r="B120" t="str">
            <v>No Estructurados</v>
          </cell>
        </row>
        <row r="121">
          <cell r="B121" t="str">
            <v>No Estructurados</v>
          </cell>
        </row>
        <row r="122">
          <cell r="B122" t="str">
            <v>Estructurados</v>
          </cell>
        </row>
        <row r="123">
          <cell r="B123" t="str">
            <v>No Estructurados</v>
          </cell>
        </row>
        <row r="124">
          <cell r="B124" t="str">
            <v>Estructurados</v>
          </cell>
        </row>
        <row r="125">
          <cell r="B125" t="str">
            <v>Estructurados</v>
          </cell>
        </row>
        <row r="126">
          <cell r="B126" t="str">
            <v>No Estructurados</v>
          </cell>
        </row>
        <row r="127">
          <cell r="B127" t="str">
            <v>No Estructurados</v>
          </cell>
        </row>
        <row r="128">
          <cell r="B128" t="str">
            <v>No Estructurados</v>
          </cell>
        </row>
        <row r="129">
          <cell r="B129" t="str">
            <v>Estructurados</v>
          </cell>
        </row>
        <row r="130">
          <cell r="B130" t="str">
            <v>No Estructurados</v>
          </cell>
        </row>
        <row r="131">
          <cell r="B131" t="str">
            <v>No Estructurados</v>
          </cell>
        </row>
        <row r="132">
          <cell r="B132" t="str">
            <v>Estructurados</v>
          </cell>
        </row>
        <row r="133">
          <cell r="B133" t="str">
            <v>No Estructurados</v>
          </cell>
        </row>
        <row r="134">
          <cell r="B134" t="str">
            <v>Estructurados</v>
          </cell>
        </row>
        <row r="135">
          <cell r="B135" t="str">
            <v>No Estructurados</v>
          </cell>
        </row>
        <row r="136">
          <cell r="B136" t="str">
            <v>Estructurados</v>
          </cell>
        </row>
        <row r="137">
          <cell r="B137" t="str">
            <v>No Estructurados</v>
          </cell>
        </row>
        <row r="138">
          <cell r="B138" t="str">
            <v>No Estructurados</v>
          </cell>
        </row>
        <row r="139">
          <cell r="B139" t="str">
            <v>Estructurados</v>
          </cell>
        </row>
        <row r="140">
          <cell r="B140" t="str">
            <v>Estructurados</v>
          </cell>
        </row>
        <row r="141">
          <cell r="B141" t="str">
            <v>No Estructurados</v>
          </cell>
        </row>
        <row r="142">
          <cell r="B142" t="str">
            <v>Estructurados</v>
          </cell>
        </row>
        <row r="143">
          <cell r="B143" t="str">
            <v>Estructurados</v>
          </cell>
        </row>
        <row r="144">
          <cell r="B144" t="str">
            <v>Estructurados</v>
          </cell>
        </row>
        <row r="145">
          <cell r="B145" t="str">
            <v>Estructurados</v>
          </cell>
        </row>
        <row r="146">
          <cell r="B146" t="str">
            <v>No Estructurados</v>
          </cell>
        </row>
        <row r="147">
          <cell r="B147" t="str">
            <v>No Estructurados</v>
          </cell>
        </row>
        <row r="148">
          <cell r="B148" t="str">
            <v>Estructurados</v>
          </cell>
        </row>
        <row r="149">
          <cell r="B149" t="str">
            <v>Estructurados</v>
          </cell>
        </row>
        <row r="150">
          <cell r="B150" t="str">
            <v>Estructurados</v>
          </cell>
        </row>
        <row r="151">
          <cell r="B151" t="str">
            <v>Estructurados</v>
          </cell>
        </row>
        <row r="152">
          <cell r="B152" t="str">
            <v>No Estructurados</v>
          </cell>
        </row>
        <row r="153">
          <cell r="B153" t="str">
            <v>No Estructurados</v>
          </cell>
        </row>
        <row r="154">
          <cell r="B154" t="str">
            <v>Estructurados</v>
          </cell>
        </row>
        <row r="155">
          <cell r="B155" t="str">
            <v>Estructurados</v>
          </cell>
        </row>
        <row r="156">
          <cell r="B156" t="str">
            <v>Estructurados</v>
          </cell>
        </row>
        <row r="157">
          <cell r="B157" t="str">
            <v>No Estructurados</v>
          </cell>
        </row>
        <row r="158">
          <cell r="B158" t="str">
            <v>Estructurados</v>
          </cell>
        </row>
        <row r="159">
          <cell r="B159" t="str">
            <v>No Estructurados</v>
          </cell>
        </row>
        <row r="160">
          <cell r="B160" t="str">
            <v>Estructurados</v>
          </cell>
        </row>
        <row r="161">
          <cell r="B161" t="str">
            <v>No Estructurados</v>
          </cell>
        </row>
        <row r="162">
          <cell r="B162" t="str">
            <v>Estructurados</v>
          </cell>
        </row>
        <row r="163">
          <cell r="B163" t="str">
            <v>No Estructurados</v>
          </cell>
        </row>
        <row r="164">
          <cell r="B164" t="str">
            <v>Estructurados</v>
          </cell>
        </row>
        <row r="165">
          <cell r="B165" t="str">
            <v>Estructurados</v>
          </cell>
        </row>
        <row r="166">
          <cell r="B166" t="str">
            <v>Estructurados</v>
          </cell>
        </row>
        <row r="167">
          <cell r="B167" t="str">
            <v>No Estructurados</v>
          </cell>
        </row>
        <row r="168">
          <cell r="B168" t="str">
            <v>Estructurados</v>
          </cell>
        </row>
        <row r="169">
          <cell r="B169" t="str">
            <v>No Estructurados</v>
          </cell>
        </row>
        <row r="170">
          <cell r="B170" t="str">
            <v>No Estructurados</v>
          </cell>
        </row>
        <row r="171">
          <cell r="B171" t="str">
            <v>Estructurados</v>
          </cell>
        </row>
        <row r="172">
          <cell r="B172" t="str">
            <v>Estructurados</v>
          </cell>
        </row>
        <row r="173">
          <cell r="B173" t="str">
            <v>Estructurados</v>
          </cell>
        </row>
        <row r="174">
          <cell r="B174" t="str">
            <v>No Estructurados</v>
          </cell>
        </row>
        <row r="175">
          <cell r="B175" t="str">
            <v>Estructurados</v>
          </cell>
        </row>
        <row r="176">
          <cell r="B176" t="str">
            <v>No Estructurados</v>
          </cell>
        </row>
        <row r="177">
          <cell r="B177" t="str">
            <v>No Estructurados</v>
          </cell>
        </row>
        <row r="178">
          <cell r="B178" t="str">
            <v>Estructurados</v>
          </cell>
        </row>
        <row r="179">
          <cell r="B179" t="str">
            <v>Estructurados</v>
          </cell>
        </row>
        <row r="180">
          <cell r="B180" t="str">
            <v>Estructurados</v>
          </cell>
        </row>
        <row r="181">
          <cell r="B181" t="str">
            <v>Estructurados</v>
          </cell>
        </row>
        <row r="182">
          <cell r="B182" t="str">
            <v>Estructurados</v>
          </cell>
        </row>
        <row r="183">
          <cell r="B183" t="str">
            <v>Estructurados</v>
          </cell>
        </row>
        <row r="184">
          <cell r="B184" t="str">
            <v>No Estructurados</v>
          </cell>
        </row>
        <row r="185">
          <cell r="B185" t="str">
            <v>No Estructurados</v>
          </cell>
        </row>
        <row r="186">
          <cell r="B186" t="str">
            <v>No Estructurados</v>
          </cell>
        </row>
        <row r="187">
          <cell r="B187" t="str">
            <v>Estructurados</v>
          </cell>
        </row>
        <row r="188">
          <cell r="B188" t="str">
            <v>No Estructurados</v>
          </cell>
        </row>
        <row r="189">
          <cell r="B189" t="str">
            <v>No Estructurados</v>
          </cell>
        </row>
        <row r="190">
          <cell r="B190" t="str">
            <v>No Estructurados</v>
          </cell>
        </row>
        <row r="191">
          <cell r="B191" t="str">
            <v>No Estructurados</v>
          </cell>
        </row>
        <row r="192">
          <cell r="B192" t="str">
            <v>No Estructurados</v>
          </cell>
        </row>
        <row r="193">
          <cell r="B193" t="str">
            <v>Estructurados</v>
          </cell>
        </row>
        <row r="194">
          <cell r="B194" t="str">
            <v>Estructurados</v>
          </cell>
        </row>
        <row r="195">
          <cell r="B195" t="str">
            <v>No Estructurados</v>
          </cell>
        </row>
        <row r="196">
          <cell r="B196" t="str">
            <v>No Estructurados</v>
          </cell>
        </row>
        <row r="197">
          <cell r="B197" t="str">
            <v>No Estructurados</v>
          </cell>
        </row>
        <row r="198">
          <cell r="B198" t="str">
            <v>Estructurados</v>
          </cell>
        </row>
        <row r="199">
          <cell r="B199" t="str">
            <v>Estructurados</v>
          </cell>
        </row>
        <row r="200">
          <cell r="B200" t="str">
            <v>No Estructurados</v>
          </cell>
        </row>
        <row r="201">
          <cell r="B201" t="str">
            <v>Estructurados</v>
          </cell>
        </row>
        <row r="202">
          <cell r="B202" t="str">
            <v>No Estructurados</v>
          </cell>
        </row>
        <row r="203">
          <cell r="B203" t="str">
            <v>No Estructurados</v>
          </cell>
        </row>
        <row r="204">
          <cell r="B204" t="str">
            <v>No Estructurados</v>
          </cell>
        </row>
        <row r="205">
          <cell r="B205" t="str">
            <v>Estructurados</v>
          </cell>
        </row>
        <row r="206">
          <cell r="B206" t="str">
            <v>Estructurados</v>
          </cell>
        </row>
        <row r="207">
          <cell r="B207" t="str">
            <v>No Estructurados</v>
          </cell>
        </row>
        <row r="208">
          <cell r="B208" t="str">
            <v>Estructurados</v>
          </cell>
        </row>
        <row r="209">
          <cell r="B209" t="str">
            <v>No Estructurados</v>
          </cell>
        </row>
        <row r="210">
          <cell r="B210" t="str">
            <v>Estructurados</v>
          </cell>
        </row>
        <row r="211">
          <cell r="B211" t="str">
            <v>No Estructurados</v>
          </cell>
        </row>
        <row r="212">
          <cell r="B212" t="str">
            <v>No Estructurados</v>
          </cell>
        </row>
        <row r="213">
          <cell r="B213" t="str">
            <v>Estructurados</v>
          </cell>
        </row>
        <row r="214">
          <cell r="B214" t="str">
            <v>Estructurados</v>
          </cell>
        </row>
        <row r="215">
          <cell r="B215" t="str">
            <v>No Estructurados</v>
          </cell>
        </row>
        <row r="216">
          <cell r="B216" t="str">
            <v>No Estructurados</v>
          </cell>
        </row>
        <row r="217">
          <cell r="B217" t="str">
            <v>Estructurados</v>
          </cell>
        </row>
        <row r="218">
          <cell r="B218" t="str">
            <v>Estructurados</v>
          </cell>
        </row>
        <row r="219">
          <cell r="B219" t="str">
            <v>No Estructurados</v>
          </cell>
        </row>
        <row r="220">
          <cell r="B220" t="str">
            <v>Estructurados</v>
          </cell>
        </row>
        <row r="221">
          <cell r="B221" t="str">
            <v>No Estructurados</v>
          </cell>
        </row>
        <row r="222">
          <cell r="B222" t="str">
            <v>No Estructurados</v>
          </cell>
        </row>
        <row r="223">
          <cell r="B223" t="str">
            <v>No Estructurados</v>
          </cell>
        </row>
        <row r="224">
          <cell r="B224" t="str">
            <v>No Estructurados</v>
          </cell>
        </row>
        <row r="225">
          <cell r="B225" t="str">
            <v>Estructurados</v>
          </cell>
        </row>
        <row r="226">
          <cell r="B226" t="str">
            <v>Estructurados</v>
          </cell>
        </row>
        <row r="227">
          <cell r="B227" t="str">
            <v>Estructurados</v>
          </cell>
        </row>
        <row r="228">
          <cell r="B228" t="str">
            <v>Estructurados</v>
          </cell>
        </row>
        <row r="229">
          <cell r="B229" t="str">
            <v>Estructurados</v>
          </cell>
        </row>
        <row r="230">
          <cell r="B230" t="str">
            <v>Estructurados</v>
          </cell>
        </row>
        <row r="231">
          <cell r="B231" t="str">
            <v>Estructurados</v>
          </cell>
        </row>
        <row r="232">
          <cell r="B232" t="str">
            <v>No Estructurados</v>
          </cell>
        </row>
        <row r="233">
          <cell r="B233" t="str">
            <v>Estructurados</v>
          </cell>
        </row>
        <row r="234">
          <cell r="B234" t="str">
            <v>Estructurados</v>
          </cell>
        </row>
        <row r="235">
          <cell r="B235" t="str">
            <v>No Estructurados</v>
          </cell>
        </row>
        <row r="236">
          <cell r="B236" t="str">
            <v>Estructurados</v>
          </cell>
        </row>
        <row r="237">
          <cell r="B237" t="str">
            <v>Estructurados</v>
          </cell>
        </row>
        <row r="238">
          <cell r="B238" t="str">
            <v>No Estructurados</v>
          </cell>
        </row>
        <row r="239">
          <cell r="B239" t="str">
            <v>Estructurados</v>
          </cell>
        </row>
        <row r="240">
          <cell r="B240" t="str">
            <v>Estructurados</v>
          </cell>
        </row>
        <row r="241">
          <cell r="B241" t="str">
            <v>Estructurados</v>
          </cell>
        </row>
        <row r="242">
          <cell r="B242" t="str">
            <v>No Estructurados</v>
          </cell>
        </row>
        <row r="243">
          <cell r="B243" t="str">
            <v>Estructurados</v>
          </cell>
        </row>
        <row r="244">
          <cell r="B244" t="str">
            <v>Estructurados</v>
          </cell>
        </row>
        <row r="245">
          <cell r="B245" t="str">
            <v>No Estructurados</v>
          </cell>
        </row>
        <row r="246">
          <cell r="B246" t="str">
            <v>Estructurados</v>
          </cell>
        </row>
        <row r="247">
          <cell r="B247" t="str">
            <v>No Estructurados</v>
          </cell>
        </row>
        <row r="248">
          <cell r="B248" t="str">
            <v>No Estructurados</v>
          </cell>
        </row>
        <row r="249">
          <cell r="B249" t="str">
            <v>Estructurados</v>
          </cell>
        </row>
        <row r="250">
          <cell r="B250" t="str">
            <v>No Estructurados</v>
          </cell>
        </row>
        <row r="251">
          <cell r="B251" t="str">
            <v>No Estructurados</v>
          </cell>
        </row>
        <row r="252">
          <cell r="B252" t="str">
            <v>Estructurados</v>
          </cell>
        </row>
        <row r="253">
          <cell r="B253" t="str">
            <v>No Estructurados</v>
          </cell>
        </row>
        <row r="254">
          <cell r="B254" t="str">
            <v>No Estructurados</v>
          </cell>
        </row>
        <row r="255">
          <cell r="B255" t="str">
            <v>Estructurados</v>
          </cell>
        </row>
        <row r="256">
          <cell r="B256" t="str">
            <v>Estructurados</v>
          </cell>
        </row>
        <row r="257">
          <cell r="B257" t="str">
            <v>Estructurados</v>
          </cell>
        </row>
        <row r="258">
          <cell r="B258" t="str">
            <v>No Estructurados</v>
          </cell>
        </row>
        <row r="259">
          <cell r="B259" t="str">
            <v>Estructurados</v>
          </cell>
        </row>
        <row r="260">
          <cell r="B260" t="str">
            <v>No Estructurados</v>
          </cell>
        </row>
        <row r="261">
          <cell r="B261" t="str">
            <v>No Estructurados</v>
          </cell>
        </row>
        <row r="262">
          <cell r="B262" t="str">
            <v>No Estructurados</v>
          </cell>
        </row>
        <row r="263">
          <cell r="B263" t="str">
            <v>No Estructurados</v>
          </cell>
        </row>
        <row r="264">
          <cell r="B264" t="str">
            <v>No Estructurados</v>
          </cell>
        </row>
        <row r="265">
          <cell r="B265" t="str">
            <v>No Estructurados</v>
          </cell>
        </row>
        <row r="266">
          <cell r="B266" t="str">
            <v>No Estructurados</v>
          </cell>
        </row>
        <row r="267">
          <cell r="B267" t="str">
            <v>Estructurados</v>
          </cell>
        </row>
        <row r="268">
          <cell r="B268" t="str">
            <v>Estructurados</v>
          </cell>
        </row>
        <row r="269">
          <cell r="B269" t="str">
            <v>No Estructurados</v>
          </cell>
        </row>
        <row r="270">
          <cell r="B270" t="str">
            <v>No Estructurados</v>
          </cell>
        </row>
        <row r="271">
          <cell r="B271" t="str">
            <v>Estructurados</v>
          </cell>
        </row>
        <row r="272">
          <cell r="B272" t="str">
            <v>No Estructurados</v>
          </cell>
        </row>
        <row r="273">
          <cell r="B273" t="str">
            <v>Estructurados</v>
          </cell>
        </row>
        <row r="274">
          <cell r="B274" t="str">
            <v>Estructurados</v>
          </cell>
        </row>
        <row r="275">
          <cell r="B275" t="str">
            <v>Estructurados</v>
          </cell>
        </row>
        <row r="276">
          <cell r="B276" t="str">
            <v>No Estructurados</v>
          </cell>
        </row>
        <row r="277">
          <cell r="B277" t="str">
            <v>No Estructurados</v>
          </cell>
        </row>
        <row r="278">
          <cell r="B278" t="str">
            <v>Estructurados</v>
          </cell>
        </row>
        <row r="279">
          <cell r="B279" t="str">
            <v>Estructurados</v>
          </cell>
        </row>
        <row r="280">
          <cell r="B280" t="str">
            <v>Estructurados</v>
          </cell>
        </row>
        <row r="281">
          <cell r="B281" t="str">
            <v>Estructurados</v>
          </cell>
        </row>
        <row r="282">
          <cell r="B282" t="str">
            <v>Estructurados</v>
          </cell>
        </row>
        <row r="283">
          <cell r="B283" t="str">
            <v>No Estructurados</v>
          </cell>
        </row>
        <row r="284">
          <cell r="B284" t="str">
            <v>Estructurados</v>
          </cell>
        </row>
        <row r="285">
          <cell r="B285" t="str">
            <v>No Estructurados</v>
          </cell>
        </row>
        <row r="286">
          <cell r="B286" t="str">
            <v>Estructurados</v>
          </cell>
        </row>
        <row r="287">
          <cell r="B287" t="str">
            <v>No Estructurados</v>
          </cell>
        </row>
        <row r="288">
          <cell r="B288" t="str">
            <v>No Estructurados</v>
          </cell>
        </row>
        <row r="289">
          <cell r="B289" t="str">
            <v>No Estructurados</v>
          </cell>
        </row>
        <row r="290">
          <cell r="B290" t="str">
            <v>No Estructurados</v>
          </cell>
        </row>
        <row r="291">
          <cell r="B291" t="str">
            <v>No Estructurados</v>
          </cell>
        </row>
        <row r="292">
          <cell r="B292" t="str">
            <v>No Estructurados</v>
          </cell>
        </row>
        <row r="293">
          <cell r="B293" t="str">
            <v>Estructurados</v>
          </cell>
        </row>
        <row r="294">
          <cell r="B294" t="str">
            <v>No Estructurados</v>
          </cell>
        </row>
        <row r="295">
          <cell r="B295" t="str">
            <v>Estructurados</v>
          </cell>
        </row>
        <row r="296">
          <cell r="B296" t="str">
            <v>No Estructurados</v>
          </cell>
        </row>
        <row r="297">
          <cell r="B297" t="str">
            <v>No Estructurados</v>
          </cell>
        </row>
        <row r="298">
          <cell r="B298" t="str">
            <v>Estructurados</v>
          </cell>
        </row>
        <row r="299">
          <cell r="B299" t="str">
            <v>No Estructurados</v>
          </cell>
        </row>
        <row r="300">
          <cell r="B300" t="str">
            <v>Estructurados</v>
          </cell>
        </row>
        <row r="301">
          <cell r="B301" t="str">
            <v>Estructurados</v>
          </cell>
        </row>
        <row r="302">
          <cell r="B302" t="str">
            <v>Estructurados</v>
          </cell>
        </row>
        <row r="303">
          <cell r="B303" t="str">
            <v>Estructurados</v>
          </cell>
        </row>
        <row r="304">
          <cell r="B304" t="str">
            <v>No Estructurados</v>
          </cell>
        </row>
        <row r="305">
          <cell r="B305" t="str">
            <v>No Estructurados</v>
          </cell>
        </row>
        <row r="306">
          <cell r="B306" t="str">
            <v>Estructurados</v>
          </cell>
        </row>
        <row r="307">
          <cell r="B307" t="str">
            <v>No Estructurados</v>
          </cell>
        </row>
        <row r="308">
          <cell r="B308" t="str">
            <v>No Estructurados</v>
          </cell>
        </row>
        <row r="309">
          <cell r="B309" t="str">
            <v>Estructurados</v>
          </cell>
        </row>
        <row r="310">
          <cell r="B310" t="str">
            <v>No Estructurados</v>
          </cell>
        </row>
        <row r="311">
          <cell r="B311" t="str">
            <v>Estructurados</v>
          </cell>
        </row>
        <row r="312">
          <cell r="B312" t="str">
            <v>Estructurados</v>
          </cell>
        </row>
        <row r="313">
          <cell r="B313" t="str">
            <v>No Estructurados</v>
          </cell>
        </row>
        <row r="314">
          <cell r="B314" t="str">
            <v>No Estructurados</v>
          </cell>
        </row>
        <row r="315">
          <cell r="B315" t="str">
            <v>No Estructurados</v>
          </cell>
        </row>
        <row r="316">
          <cell r="B316" t="str">
            <v>Estructurados</v>
          </cell>
        </row>
        <row r="317">
          <cell r="B317" t="str">
            <v>Estructurados</v>
          </cell>
        </row>
        <row r="318">
          <cell r="B318" t="str">
            <v>No Estructurados</v>
          </cell>
        </row>
        <row r="319">
          <cell r="B319" t="str">
            <v>No Estructurados</v>
          </cell>
        </row>
        <row r="320">
          <cell r="B320" t="str">
            <v>No Estructurados</v>
          </cell>
        </row>
        <row r="321">
          <cell r="B321" t="str">
            <v>No Estructurados</v>
          </cell>
        </row>
        <row r="322">
          <cell r="B322" t="str">
            <v>Estructurados</v>
          </cell>
        </row>
        <row r="323">
          <cell r="B323" t="str">
            <v>No Estructurados</v>
          </cell>
        </row>
        <row r="324">
          <cell r="B324" t="str">
            <v>Estructurados</v>
          </cell>
        </row>
        <row r="325">
          <cell r="B325" t="str">
            <v>Estructurados</v>
          </cell>
        </row>
        <row r="326">
          <cell r="B326" t="str">
            <v>No Estructurados</v>
          </cell>
        </row>
        <row r="327">
          <cell r="B327" t="str">
            <v>No Estructurados</v>
          </cell>
        </row>
        <row r="328">
          <cell r="B328" t="str">
            <v>No Estructurados</v>
          </cell>
        </row>
        <row r="329">
          <cell r="B329" t="str">
            <v>Estructurados</v>
          </cell>
        </row>
        <row r="330">
          <cell r="B330" t="str">
            <v>No Estructurados</v>
          </cell>
        </row>
        <row r="331">
          <cell r="B331" t="str">
            <v>No Estructurados</v>
          </cell>
        </row>
        <row r="332">
          <cell r="B332" t="str">
            <v>Estructurados</v>
          </cell>
        </row>
        <row r="333">
          <cell r="B333" t="str">
            <v>No Estructurados</v>
          </cell>
        </row>
        <row r="334">
          <cell r="B334" t="str">
            <v>Estructurados</v>
          </cell>
        </row>
        <row r="335">
          <cell r="B335" t="str">
            <v>No Estructurados</v>
          </cell>
        </row>
        <row r="336">
          <cell r="B336" t="str">
            <v>Estructurados</v>
          </cell>
        </row>
        <row r="337">
          <cell r="B337" t="str">
            <v>No Estructurados</v>
          </cell>
        </row>
        <row r="338">
          <cell r="B338" t="str">
            <v>No Estructurados</v>
          </cell>
        </row>
        <row r="339">
          <cell r="B339" t="str">
            <v>Estructurados</v>
          </cell>
        </row>
        <row r="340">
          <cell r="B340" t="str">
            <v>Estructurados</v>
          </cell>
        </row>
        <row r="341">
          <cell r="B341" t="str">
            <v>No Estructurados</v>
          </cell>
        </row>
        <row r="342">
          <cell r="B342" t="str">
            <v>Estructurados</v>
          </cell>
        </row>
        <row r="343">
          <cell r="B343" t="str">
            <v>Estructurados</v>
          </cell>
        </row>
        <row r="344">
          <cell r="B344" t="str">
            <v>Estructurados</v>
          </cell>
        </row>
        <row r="345">
          <cell r="B345" t="str">
            <v>Estructurados</v>
          </cell>
        </row>
        <row r="346">
          <cell r="B346" t="str">
            <v>No Estructurados</v>
          </cell>
        </row>
        <row r="347">
          <cell r="B347" t="str">
            <v>No Estructurados</v>
          </cell>
        </row>
        <row r="348">
          <cell r="B348" t="str">
            <v>Estructurados</v>
          </cell>
        </row>
        <row r="349">
          <cell r="B349" t="str">
            <v>Estructurados</v>
          </cell>
        </row>
        <row r="350">
          <cell r="B350" t="str">
            <v>Estructurados</v>
          </cell>
        </row>
        <row r="351">
          <cell r="B351" t="str">
            <v>Estructurados</v>
          </cell>
        </row>
        <row r="352">
          <cell r="B352" t="str">
            <v>No Estructurados</v>
          </cell>
        </row>
        <row r="353">
          <cell r="B353" t="str">
            <v>No Estructurados</v>
          </cell>
        </row>
        <row r="354">
          <cell r="B354" t="str">
            <v>Estructurados</v>
          </cell>
        </row>
        <row r="355">
          <cell r="B355" t="str">
            <v>Estructurados</v>
          </cell>
        </row>
        <row r="356">
          <cell r="B356" t="str">
            <v>Estructurados</v>
          </cell>
        </row>
        <row r="357">
          <cell r="B357" t="str">
            <v>No Estructurados</v>
          </cell>
        </row>
        <row r="358">
          <cell r="B358" t="str">
            <v>Estructurados</v>
          </cell>
        </row>
        <row r="359">
          <cell r="B359" t="str">
            <v>No Estructurados</v>
          </cell>
        </row>
        <row r="360">
          <cell r="B360" t="str">
            <v>Estructurados</v>
          </cell>
        </row>
        <row r="361">
          <cell r="B361" t="str">
            <v>No Estructurados</v>
          </cell>
        </row>
        <row r="362">
          <cell r="B362" t="str">
            <v>Estructurados</v>
          </cell>
        </row>
        <row r="363">
          <cell r="B363" t="str">
            <v>No Estructurados</v>
          </cell>
        </row>
        <row r="364">
          <cell r="B364" t="str">
            <v>Estructurados</v>
          </cell>
        </row>
        <row r="365">
          <cell r="B365" t="str">
            <v>Estructurados</v>
          </cell>
        </row>
        <row r="366">
          <cell r="B366" t="str">
            <v>Estructurados</v>
          </cell>
        </row>
        <row r="367">
          <cell r="B367" t="str">
            <v>No Estructurados</v>
          </cell>
        </row>
        <row r="368">
          <cell r="B368" t="str">
            <v>Estructurados</v>
          </cell>
        </row>
        <row r="369">
          <cell r="B369" t="str">
            <v>No Estructurados</v>
          </cell>
        </row>
        <row r="370">
          <cell r="B370" t="str">
            <v>No Estructurados</v>
          </cell>
        </row>
        <row r="371">
          <cell r="B371" t="str">
            <v>Estructurados</v>
          </cell>
        </row>
        <row r="372">
          <cell r="B372" t="str">
            <v>Estructurados</v>
          </cell>
        </row>
        <row r="373">
          <cell r="B373" t="str">
            <v>Estructurados</v>
          </cell>
        </row>
        <row r="374">
          <cell r="B374" t="str">
            <v>No Estructurados</v>
          </cell>
        </row>
        <row r="375">
          <cell r="B375" t="str">
            <v>Estructurados</v>
          </cell>
        </row>
        <row r="376">
          <cell r="B376" t="str">
            <v>No Estructurados</v>
          </cell>
        </row>
        <row r="377">
          <cell r="B377" t="str">
            <v>No Estructurados</v>
          </cell>
        </row>
        <row r="378">
          <cell r="B378" t="str">
            <v>Estructurados</v>
          </cell>
        </row>
        <row r="379">
          <cell r="B379" t="str">
            <v>Estructurados</v>
          </cell>
        </row>
        <row r="380">
          <cell r="B380" t="str">
            <v>Estructurados</v>
          </cell>
        </row>
        <row r="381">
          <cell r="B381" t="str">
            <v>Estructurados</v>
          </cell>
        </row>
        <row r="382">
          <cell r="B382" t="str">
            <v>Estructurados</v>
          </cell>
        </row>
        <row r="383">
          <cell r="B383" t="str">
            <v>Estructurados</v>
          </cell>
        </row>
        <row r="384">
          <cell r="B384" t="str">
            <v>No Estructurados</v>
          </cell>
        </row>
        <row r="385">
          <cell r="B385" t="str">
            <v>No Estructurados</v>
          </cell>
        </row>
        <row r="386">
          <cell r="B386" t="str">
            <v>No Estructurados</v>
          </cell>
        </row>
        <row r="387">
          <cell r="B387" t="str">
            <v>Estructurados</v>
          </cell>
        </row>
        <row r="388">
          <cell r="B388" t="str">
            <v>No Estructurados</v>
          </cell>
        </row>
        <row r="389">
          <cell r="B389" t="str">
            <v>No Estructurados</v>
          </cell>
        </row>
        <row r="390">
          <cell r="B390" t="str">
            <v>No Estructurados</v>
          </cell>
        </row>
        <row r="391">
          <cell r="B391" t="str">
            <v>No Estructurados</v>
          </cell>
        </row>
        <row r="392">
          <cell r="B392" t="str">
            <v>No Estructurados</v>
          </cell>
        </row>
        <row r="393">
          <cell r="B393" t="str">
            <v>Estructurados</v>
          </cell>
        </row>
        <row r="394">
          <cell r="B394" t="str">
            <v>Estructurados</v>
          </cell>
        </row>
        <row r="395">
          <cell r="B395" t="str">
            <v>No Estructurados</v>
          </cell>
        </row>
        <row r="396">
          <cell r="B396" t="str">
            <v>No Estructurados</v>
          </cell>
        </row>
        <row r="397">
          <cell r="B397" t="str">
            <v>No Estructurados</v>
          </cell>
        </row>
        <row r="398">
          <cell r="B398" t="str">
            <v>Estructurados</v>
          </cell>
        </row>
        <row r="399">
          <cell r="B399" t="str">
            <v>Estructurados</v>
          </cell>
        </row>
        <row r="400">
          <cell r="B400" t="str">
            <v>No Estructurados</v>
          </cell>
        </row>
        <row r="401">
          <cell r="B401" t="str">
            <v>Estructurados</v>
          </cell>
        </row>
      </sheetData>
      <sheetData sheetId="1"/>
      <sheetData sheetId="2">
        <row r="2">
          <cell r="B2" t="str">
            <v>Tiempo de Procesamiento (Horas)</v>
          </cell>
        </row>
        <row r="3">
          <cell r="A3">
            <v>18.24835707650562</v>
          </cell>
          <cell r="B3">
            <v>12.65040246790244</v>
          </cell>
        </row>
        <row r="4">
          <cell r="A4">
            <v>9.9308678494144083</v>
          </cell>
          <cell r="B4">
            <v>7.8465119664020389</v>
          </cell>
        </row>
        <row r="5">
          <cell r="A5">
            <v>16.323844269050351</v>
          </cell>
          <cell r="B5">
            <v>18.293436851921332</v>
          </cell>
        </row>
        <row r="6">
          <cell r="A6">
            <v>19.761514928204011</v>
          </cell>
          <cell r="B6">
            <v>16.354213761904319</v>
          </cell>
        </row>
        <row r="7">
          <cell r="A7">
            <v>10.882923312638329</v>
          </cell>
          <cell r="B7">
            <v>12.844000643802531</v>
          </cell>
        </row>
        <row r="8">
          <cell r="A8">
            <v>12.882931521525411</v>
          </cell>
          <cell r="B8">
            <v>12.09461332508755</v>
          </cell>
        </row>
        <row r="9">
          <cell r="A9">
            <v>14.78960640775369</v>
          </cell>
          <cell r="B9">
            <v>11.389638858607681</v>
          </cell>
        </row>
        <row r="10">
          <cell r="A10">
            <v>16.383717364576459</v>
          </cell>
          <cell r="B10">
            <v>9.9412842031688946</v>
          </cell>
        </row>
        <row r="11">
          <cell r="A11">
            <v>11.765262807032521</v>
          </cell>
          <cell r="B11">
            <v>17.777647854780032</v>
          </cell>
        </row>
        <row r="12">
          <cell r="A12">
            <v>14.271280021792981</v>
          </cell>
          <cell r="B12">
            <v>17.904702937757719</v>
          </cell>
        </row>
        <row r="13">
          <cell r="A13">
            <v>10.76829115359377</v>
          </cell>
          <cell r="B13">
            <v>11.19785521820382</v>
          </cell>
        </row>
        <row r="14">
          <cell r="A14">
            <v>15.767135123214871</v>
          </cell>
          <cell r="B14">
            <v>13.224495104306291</v>
          </cell>
        </row>
        <row r="15">
          <cell r="A15">
            <v>16.120981135783019</v>
          </cell>
          <cell r="B15">
            <v>11.319782517736559</v>
          </cell>
        </row>
        <row r="16">
          <cell r="A16">
            <v>12.043359877671101</v>
          </cell>
          <cell r="B16">
            <v>16.053874715719651</v>
          </cell>
        </row>
        <row r="17">
          <cell r="A17">
            <v>16.137541083743479</v>
          </cell>
          <cell r="B17">
            <v>14.691367565359011</v>
          </cell>
        </row>
        <row r="18">
          <cell r="A18">
            <v>9.7188562353795138</v>
          </cell>
          <cell r="B18">
            <v>14.585083559174009</v>
          </cell>
        </row>
        <row r="19">
          <cell r="A19">
            <v>11.493584439832791</v>
          </cell>
          <cell r="B19">
            <v>9.6594152362102754</v>
          </cell>
        </row>
        <row r="20">
          <cell r="A20">
            <v>13.15712366629764</v>
          </cell>
          <cell r="B20">
            <v>14.2428104906003</v>
          </cell>
        </row>
        <row r="21">
          <cell r="A21">
            <v>14.545987962239391</v>
          </cell>
          <cell r="B21">
            <v>9.2541405664508591</v>
          </cell>
        </row>
        <row r="22">
          <cell r="A22">
            <v>8.293848149332355</v>
          </cell>
          <cell r="B22">
            <v>8.2039121859149571</v>
          </cell>
        </row>
        <row r="23">
          <cell r="A23">
            <v>6.7328243844607769</v>
          </cell>
          <cell r="B23">
            <v>14.952775638815289</v>
          </cell>
        </row>
        <row r="24">
          <cell r="A24">
            <v>13.88711184975673</v>
          </cell>
          <cell r="B24">
            <v>12.45202911119684</v>
          </cell>
        </row>
        <row r="25">
          <cell r="A25">
            <v>19.033764102343959</v>
          </cell>
          <cell r="B25">
            <v>11.223453100944949</v>
          </cell>
        </row>
        <row r="26">
          <cell r="A26">
            <v>11.28762590689327</v>
          </cell>
          <cell r="B26">
            <v>15.35940447929285</v>
          </cell>
        </row>
        <row r="27">
          <cell r="A27">
            <v>9.7278086377374091</v>
          </cell>
          <cell r="B27">
            <v>13.3886657418259</v>
          </cell>
        </row>
        <row r="28">
          <cell r="A28">
            <v>18.055461294854929</v>
          </cell>
          <cell r="B28">
            <v>12.905975100687341</v>
          </cell>
        </row>
        <row r="29">
          <cell r="A29">
            <v>16.424503211288851</v>
          </cell>
          <cell r="B29">
            <v>3.0225315056937072</v>
          </cell>
        </row>
        <row r="30">
          <cell r="A30">
            <v>18.18784900917284</v>
          </cell>
          <cell r="B30">
            <v>11.70467791664011</v>
          </cell>
        </row>
        <row r="31">
          <cell r="A31">
            <v>12.6996806550406</v>
          </cell>
          <cell r="B31">
            <v>16.054967335676711</v>
          </cell>
        </row>
        <row r="32">
          <cell r="A32">
            <v>19.854153125103359</v>
          </cell>
          <cell r="B32">
            <v>15.62671998704592</v>
          </cell>
        </row>
        <row r="33">
          <cell r="A33">
            <v>12.6991466938853</v>
          </cell>
          <cell r="B33">
            <v>15.181406050601961</v>
          </cell>
        </row>
        <row r="34">
          <cell r="A34">
            <v>13.92613909225447</v>
          </cell>
          <cell r="B34">
            <v>10.242997120236129</v>
          </cell>
        </row>
        <row r="35">
          <cell r="A35">
            <v>17.99325138763103</v>
          </cell>
          <cell r="B35">
            <v>11.512924546728611</v>
          </cell>
        </row>
        <row r="36">
          <cell r="A36">
            <v>20.47114453552205</v>
          </cell>
          <cell r="B36">
            <v>16.758650960675968</v>
          </cell>
        </row>
        <row r="37">
          <cell r="A37">
            <v>10.4112724560516</v>
          </cell>
          <cell r="B37">
            <v>13.65170678067982</v>
          </cell>
        </row>
        <row r="38">
          <cell r="A38">
            <v>17.389578175014488</v>
          </cell>
          <cell r="B38">
            <v>15.315752147236941</v>
          </cell>
        </row>
        <row r="39">
          <cell r="A39">
            <v>18.104431797502379</v>
          </cell>
          <cell r="B39">
            <v>16.972522488526309</v>
          </cell>
        </row>
        <row r="40">
          <cell r="A40">
            <v>14.020164938060111</v>
          </cell>
          <cell r="B40">
            <v>14.58814128903018</v>
          </cell>
        </row>
        <row r="41">
          <cell r="A41">
            <v>12.335906975550779</v>
          </cell>
          <cell r="B41">
            <v>12.12167627530229</v>
          </cell>
        </row>
        <row r="42">
          <cell r="A42">
            <v>21.098430617934561</v>
          </cell>
          <cell r="B42">
            <v>16.648634145275171</v>
          </cell>
        </row>
        <row r="43">
          <cell r="A43">
            <v>14.369233289997711</v>
          </cell>
          <cell r="B43">
            <v>13.424887394725021</v>
          </cell>
        </row>
        <row r="44">
          <cell r="A44">
            <v>12.08568414059499</v>
          </cell>
          <cell r="B44">
            <v>13.920728505627631</v>
          </cell>
        </row>
        <row r="45">
          <cell r="A45">
            <v>11.94217585880588</v>
          </cell>
          <cell r="B45">
            <v>15.87409259191849</v>
          </cell>
        </row>
        <row r="46">
          <cell r="A46">
            <v>21.849448152205351</v>
          </cell>
          <cell r="B46">
            <v>19.066837975443249</v>
          </cell>
        </row>
        <row r="47">
          <cell r="A47">
            <v>18.260739004816291</v>
          </cell>
          <cell r="B47">
            <v>12.4638930373874</v>
          </cell>
        </row>
        <row r="48">
          <cell r="A48">
            <v>20.640077895802641</v>
          </cell>
          <cell r="B48">
            <v>17.070176052707829</v>
          </cell>
        </row>
        <row r="49">
          <cell r="A49">
            <v>12.76968061452011</v>
          </cell>
          <cell r="B49">
            <v>12.130810350774491</v>
          </cell>
        </row>
        <row r="50">
          <cell r="A50">
            <v>12.528561113109459</v>
          </cell>
          <cell r="B50">
            <v>9.6581866813726513</v>
          </cell>
        </row>
        <row r="51">
          <cell r="A51">
            <v>14.17180914478423</v>
          </cell>
          <cell r="B51">
            <v>10.916442355163319</v>
          </cell>
        </row>
        <row r="52">
          <cell r="A52">
            <v>9.1184799223186328</v>
          </cell>
          <cell r="B52">
            <v>14.295939328581531</v>
          </cell>
        </row>
        <row r="53">
          <cell r="A53">
            <v>23.162041984697399</v>
          </cell>
          <cell r="B53">
            <v>16.001756018873781</v>
          </cell>
        </row>
        <row r="54">
          <cell r="A54">
            <v>14.80745885979184</v>
          </cell>
          <cell r="B54">
            <v>13.569629697446871</v>
          </cell>
        </row>
        <row r="55">
          <cell r="A55">
            <v>24.661538999847021</v>
          </cell>
          <cell r="B55">
            <v>17.04570764864172</v>
          </cell>
        </row>
        <row r="56">
          <cell r="A56">
            <v>15.305838144420431</v>
          </cell>
          <cell r="B56">
            <v>15.061369438808491</v>
          </cell>
        </row>
        <row r="57">
          <cell r="A57">
            <v>12.51549976124798</v>
          </cell>
          <cell r="B57">
            <v>12.87320140682939</v>
          </cell>
        </row>
        <row r="58">
          <cell r="A58">
            <v>16.465640059558101</v>
          </cell>
          <cell r="B58">
            <v>7.5215063682930889</v>
          </cell>
        </row>
        <row r="59">
          <cell r="A59">
            <v>6.5803912383886809</v>
          </cell>
          <cell r="B59">
            <v>10.28668399410321</v>
          </cell>
        </row>
        <row r="60">
          <cell r="A60">
            <v>20.845393812074391</v>
          </cell>
          <cell r="B60">
            <v>16.300220744623338</v>
          </cell>
        </row>
        <row r="61">
          <cell r="A61">
            <v>10.16563171570178</v>
          </cell>
          <cell r="B61">
            <v>11.79570615895107</v>
          </cell>
        </row>
        <row r="62">
          <cell r="A62">
            <v>17.48777256356118</v>
          </cell>
          <cell r="B62">
            <v>10.885864445330711</v>
          </cell>
        </row>
        <row r="63">
          <cell r="A63">
            <v>11.760412881077359</v>
          </cell>
          <cell r="B63">
            <v>17.91314195683497</v>
          </cell>
        </row>
        <row r="64">
          <cell r="A64">
            <v>12.90717051166809</v>
          </cell>
          <cell r="B64">
            <v>13.55876054745141</v>
          </cell>
        </row>
        <row r="65">
          <cell r="A65">
            <v>16.446832512996981</v>
          </cell>
          <cell r="B65">
            <v>16.776643511142488</v>
          </cell>
        </row>
        <row r="66">
          <cell r="A66">
            <v>8.401896687959665</v>
          </cell>
          <cell r="B66">
            <v>10.64633654418336</v>
          </cell>
        </row>
        <row r="67">
          <cell r="A67">
            <v>13.4062629111971</v>
          </cell>
          <cell r="B67">
            <v>15.76642625220852</v>
          </cell>
        </row>
        <row r="68">
          <cell r="A68">
            <v>17.678120014285408</v>
          </cell>
          <cell r="B68">
            <v>14.46520640603444</v>
          </cell>
        </row>
        <row r="69">
          <cell r="A69">
            <v>14.963994939209829</v>
          </cell>
          <cell r="B69">
            <v>16.052371550296499</v>
          </cell>
        </row>
        <row r="70">
          <cell r="A70">
            <v>17.501766448946011</v>
          </cell>
          <cell r="B70">
            <v>12.426519776874009</v>
          </cell>
        </row>
        <row r="71">
          <cell r="A71">
            <v>17.180818012523819</v>
          </cell>
          <cell r="B71">
            <v>14.067513771398829</v>
          </cell>
        </row>
        <row r="72">
          <cell r="A72">
            <v>21.67744012269744</v>
          </cell>
          <cell r="B72">
            <v>17.71820810249222</v>
          </cell>
        </row>
        <row r="73">
          <cell r="A73">
            <v>13.18069780275421</v>
          </cell>
          <cell r="B73">
            <v>13.041532826086049</v>
          </cell>
        </row>
        <row r="74">
          <cell r="A74">
            <v>12.769018283232979</v>
          </cell>
          <cell r="B74">
            <v>8.6769906264173908</v>
          </cell>
        </row>
        <row r="75">
          <cell r="A75">
            <v>18.982086980445029</v>
          </cell>
          <cell r="B75">
            <v>14.131973059039209</v>
          </cell>
        </row>
        <row r="76">
          <cell r="A76">
            <v>15.782321827906999</v>
          </cell>
          <cell r="B76">
            <v>15.69341016063067</v>
          </cell>
        </row>
        <row r="77">
          <cell r="A77">
            <v>19.690127447955131</v>
          </cell>
          <cell r="B77">
            <v>11.326580146999101</v>
          </cell>
        </row>
        <row r="78">
          <cell r="A78">
            <v>13.41095125218761</v>
          </cell>
          <cell r="B78">
            <v>16.33821217496854</v>
          </cell>
        </row>
        <row r="79">
          <cell r="A79">
            <v>17.043523534119089</v>
          </cell>
          <cell r="B79">
            <v>15.603260204899341</v>
          </cell>
        </row>
        <row r="80">
          <cell r="A80">
            <v>15.85049632476707</v>
          </cell>
          <cell r="B80">
            <v>14.137381851597381</v>
          </cell>
        </row>
        <row r="81">
          <cell r="A81">
            <v>9.0458803882677508</v>
          </cell>
          <cell r="B81">
            <v>16.57297223288877</v>
          </cell>
        </row>
        <row r="82">
          <cell r="A82">
            <v>14.00621554269955</v>
          </cell>
          <cell r="B82">
            <v>13.369188969721799</v>
          </cell>
        </row>
        <row r="83">
          <cell r="A83">
            <v>16.89016405608124</v>
          </cell>
          <cell r="B83">
            <v>11.682861668465961</v>
          </cell>
        </row>
        <row r="84">
          <cell r="A84">
            <v>18.178556285755871</v>
          </cell>
          <cell r="B84">
            <v>10.243021090015899</v>
          </cell>
        </row>
        <row r="85">
          <cell r="A85">
            <v>13.738947022370761</v>
          </cell>
          <cell r="B85">
            <v>14.2057965941523</v>
          </cell>
        </row>
        <row r="86">
          <cell r="A86">
            <v>16.740864890863179</v>
          </cell>
          <cell r="B86">
            <v>17.842597045912459</v>
          </cell>
        </row>
        <row r="87">
          <cell r="A87">
            <v>8.5957531985534068</v>
          </cell>
          <cell r="B87">
            <v>7.6180705984540982</v>
          </cell>
        </row>
        <row r="88">
          <cell r="A88">
            <v>11.74912147820773</v>
          </cell>
          <cell r="B88">
            <v>10.88819021154093</v>
          </cell>
        </row>
        <row r="89">
          <cell r="A89">
            <v>21.45770105885104</v>
          </cell>
          <cell r="B89">
            <v>12.872725535428129</v>
          </cell>
        </row>
        <row r="90">
          <cell r="A90">
            <v>19.164375554829839</v>
          </cell>
          <cell r="B90">
            <v>13.19856559375132</v>
          </cell>
        </row>
        <row r="91">
          <cell r="A91">
            <v>15.73511989811648</v>
          </cell>
          <cell r="B91">
            <v>17.202589981353199</v>
          </cell>
        </row>
        <row r="92">
          <cell r="A92">
            <v>11.25663371655668</v>
          </cell>
          <cell r="B92">
            <v>16.985420078006111</v>
          </cell>
        </row>
        <row r="93">
          <cell r="A93">
            <v>12.04853877467402</v>
          </cell>
          <cell r="B93">
            <v>13.699052124645471</v>
          </cell>
        </row>
        <row r="94">
          <cell r="A94">
            <v>17.48432249526644</v>
          </cell>
          <cell r="B94">
            <v>18.812320458953518</v>
          </cell>
        </row>
        <row r="95">
          <cell r="A95">
            <v>20.64897345306132</v>
          </cell>
          <cell r="B95">
            <v>16.398125869214329</v>
          </cell>
        </row>
        <row r="96">
          <cell r="A96">
            <v>11.83616892670112</v>
          </cell>
          <cell r="B96">
            <v>10.229704487236621</v>
          </cell>
        </row>
        <row r="97">
          <cell r="A97">
            <v>19.803945923433918</v>
          </cell>
          <cell r="B97">
            <v>17.379711103318758</v>
          </cell>
        </row>
        <row r="98">
          <cell r="A98">
            <v>10.268242525933941</v>
          </cell>
          <cell r="B98">
            <v>11.760405786338159</v>
          </cell>
        </row>
        <row r="99">
          <cell r="A99">
            <v>22.148060138532291</v>
          </cell>
          <cell r="B99">
            <v>14.20577823966928</v>
          </cell>
        </row>
        <row r="100">
          <cell r="A100">
            <v>16.130527636089941</v>
          </cell>
          <cell r="B100">
            <v>18.217105308962079</v>
          </cell>
        </row>
        <row r="101">
          <cell r="A101">
            <v>10.002556728321229</v>
          </cell>
          <cell r="B101">
            <v>13.231788569531471</v>
          </cell>
        </row>
        <row r="102">
          <cell r="A102">
            <v>19.882706433312421</v>
          </cell>
          <cell r="B102">
            <v>14.915622267246571</v>
          </cell>
        </row>
        <row r="103">
          <cell r="A103">
            <v>16.29231462897479</v>
          </cell>
          <cell r="B103">
            <v>12.171144457243949</v>
          </cell>
        </row>
        <row r="104">
          <cell r="A104">
            <v>12.78967733861732</v>
          </cell>
          <cell r="B104">
            <v>11.76378894554739</v>
          </cell>
        </row>
        <row r="105">
          <cell r="A105">
            <v>14.828642741736619</v>
          </cell>
          <cell r="B105">
            <v>11.906518232826899</v>
          </cell>
        </row>
        <row r="106">
          <cell r="A106">
            <v>18.59886136538919</v>
          </cell>
          <cell r="B106">
            <v>14.6205719588575</v>
          </cell>
        </row>
        <row r="107">
          <cell r="A107">
            <v>16.919357144166991</v>
          </cell>
          <cell r="B107">
            <v>14.52080708982122</v>
          </cell>
        </row>
        <row r="108">
          <cell r="A108">
            <v>21.202025428407271</v>
          </cell>
          <cell r="B108">
            <v>13.701572660608109</v>
          </cell>
        </row>
        <row r="109">
          <cell r="A109">
            <v>13.943092950605269</v>
          </cell>
          <cell r="B109">
            <v>13.64907877956149</v>
          </cell>
        </row>
        <row r="110">
          <cell r="A110">
            <v>16.087288906415921</v>
          </cell>
          <cell r="B110">
            <v>15.02289425078693</v>
          </cell>
        </row>
        <row r="111">
          <cell r="A111">
            <v>15.12877519536138</v>
          </cell>
          <cell r="B111">
            <v>14.808138533053979</v>
          </cell>
        </row>
        <row r="112">
          <cell r="A112">
            <v>11.962777042116921</v>
          </cell>
          <cell r="B112">
            <v>9.2431938295213136</v>
          </cell>
        </row>
        <row r="113">
          <cell r="A113">
            <v>3.0406143923504789</v>
          </cell>
          <cell r="B113">
            <v>10.058608631169941</v>
          </cell>
        </row>
        <row r="114">
          <cell r="A114">
            <v>18.986743062275391</v>
          </cell>
          <cell r="B114">
            <v>18.7711835241107</v>
          </cell>
        </row>
        <row r="115">
          <cell r="A115">
            <v>10.030115104970511</v>
          </cell>
          <cell r="B115">
            <v>12.882558931748809</v>
          </cell>
        </row>
        <row r="116">
          <cell r="A116">
            <v>19.231621056242641</v>
          </cell>
          <cell r="B116">
            <v>13.98349125444458</v>
          </cell>
        </row>
        <row r="117">
          <cell r="A117">
            <v>15.90381951760944</v>
          </cell>
          <cell r="B117">
            <v>10.13533812474447</v>
          </cell>
        </row>
        <row r="118">
          <cell r="A118">
            <v>7.1507736711668066</v>
          </cell>
          <cell r="B118">
            <v>11.036888265350431</v>
          </cell>
        </row>
        <row r="119">
          <cell r="A119">
            <v>14.98264411514738</v>
          </cell>
          <cell r="B119">
            <v>16.97364645005587</v>
          </cell>
        </row>
        <row r="120">
          <cell r="A120">
            <v>14.41566098119023</v>
          </cell>
          <cell r="B120">
            <v>14.144222746189721</v>
          </cell>
        </row>
        <row r="121">
          <cell r="A121">
            <v>19.571411407257511</v>
          </cell>
          <cell r="B121">
            <v>11.89273885679656</v>
          </cell>
        </row>
        <row r="122">
          <cell r="A122">
            <v>14.375966516343389</v>
          </cell>
          <cell r="B122">
            <v>12.50155471223745</v>
          </cell>
        </row>
        <row r="123">
          <cell r="A123">
            <v>19.395515973521519</v>
          </cell>
          <cell r="B123">
            <v>17.468861149064239</v>
          </cell>
        </row>
        <row r="124">
          <cell r="A124">
            <v>13.54530627260263</v>
          </cell>
          <cell r="B124">
            <v>10.386853342420149</v>
          </cell>
        </row>
        <row r="125">
          <cell r="A125">
            <v>10.701397155468049</v>
          </cell>
          <cell r="B125">
            <v>8.4404853769295176</v>
          </cell>
        </row>
        <row r="126">
          <cell r="A126">
            <v>15.299074468603861</v>
          </cell>
          <cell r="B126">
            <v>14.009174396923809</v>
          </cell>
        </row>
        <row r="127">
          <cell r="A127">
            <v>17.293428546900131</v>
          </cell>
          <cell r="B127">
            <v>9.2136375705009783</v>
          </cell>
        </row>
        <row r="128">
          <cell r="A128">
            <v>17.095227812904991</v>
          </cell>
          <cell r="B128">
            <v>11.400859951059839</v>
          </cell>
        </row>
        <row r="129">
          <cell r="A129">
            <v>13.50473183743466</v>
          </cell>
          <cell r="B129">
            <v>9.382208674740987</v>
          </cell>
        </row>
        <row r="130">
          <cell r="A130">
            <v>12.71685113519861</v>
          </cell>
          <cell r="B130">
            <v>15.245412119003269</v>
          </cell>
        </row>
        <row r="131">
          <cell r="A131">
            <v>6.0498256825438208</v>
          </cell>
          <cell r="B131">
            <v>10.295293162971641</v>
          </cell>
        </row>
        <row r="132">
          <cell r="A132">
            <v>14.748262172941899</v>
          </cell>
          <cell r="B132">
            <v>16.156358954130209</v>
          </cell>
        </row>
        <row r="133">
          <cell r="A133">
            <v>14.224668284466929</v>
          </cell>
          <cell r="B133">
            <v>12.45476762165316</v>
          </cell>
        </row>
        <row r="134">
          <cell r="A134">
            <v>11.03428148740301</v>
          </cell>
          <cell r="B134">
            <v>12.67346334045043</v>
          </cell>
        </row>
        <row r="135">
          <cell r="A135">
            <v>13.468848143136951</v>
          </cell>
          <cell r="B135">
            <v>10.82115694420458</v>
          </cell>
        </row>
        <row r="136">
          <cell r="A136">
            <v>17.23679621531759</v>
          </cell>
          <cell r="B136">
            <v>12.73188943491558</v>
          </cell>
        </row>
        <row r="137">
          <cell r="A137">
            <v>12.540287882883099</v>
          </cell>
          <cell r="B137">
            <v>19.82441338022009</v>
          </cell>
        </row>
        <row r="138">
          <cell r="A138">
            <v>15.774967202508771</v>
          </cell>
          <cell r="B138">
            <v>14.893513624903189</v>
          </cell>
        </row>
        <row r="139">
          <cell r="A139">
            <v>16.60837335383188</v>
          </cell>
          <cell r="B139">
            <v>14.556514450465331</v>
          </cell>
        </row>
        <row r="140">
          <cell r="A140">
            <v>7.8389692418971624</v>
          </cell>
          <cell r="B140">
            <v>7.7967387538806321</v>
          </cell>
        </row>
        <row r="141">
          <cell r="A141">
            <v>23.406758608684839</v>
          </cell>
          <cell r="B141">
            <v>17.834733444183009</v>
          </cell>
        </row>
        <row r="142">
          <cell r="A142">
            <v>13.384567841783021</v>
          </cell>
          <cell r="B142">
            <v>12.893356101163301</v>
          </cell>
        </row>
        <row r="143">
          <cell r="A143">
            <v>14.113729967302071</v>
          </cell>
          <cell r="B143">
            <v>15.5245420357002</v>
          </cell>
        </row>
        <row r="144">
          <cell r="A144">
            <v>23.653571377141219</v>
          </cell>
          <cell r="B144">
            <v>14.18169340264067</v>
          </cell>
        </row>
        <row r="145">
          <cell r="A145">
            <v>10.196258382719391</v>
          </cell>
          <cell r="B145">
            <v>14.312558168005699</v>
          </cell>
        </row>
        <row r="146">
          <cell r="A146">
            <v>9.0923169292661523</v>
          </cell>
          <cell r="B146">
            <v>11.50087427952773</v>
          </cell>
        </row>
        <row r="147">
          <cell r="A147">
            <v>9.1299413971242114</v>
          </cell>
          <cell r="B147">
            <v>17.7749145544995</v>
          </cell>
        </row>
        <row r="148">
          <cell r="A148">
            <v>8.3909114358886558</v>
          </cell>
          <cell r="B148">
            <v>8.485665597558615</v>
          </cell>
        </row>
        <row r="149">
          <cell r="A149">
            <v>19.381524644560962</v>
          </cell>
          <cell r="B149">
            <v>14.616172435686179</v>
          </cell>
        </row>
        <row r="150">
          <cell r="A150">
            <v>18.339771693457859</v>
          </cell>
          <cell r="B150">
            <v>19.311930955833301</v>
          </cell>
        </row>
        <row r="151">
          <cell r="A151">
            <v>16.26097078280845</v>
          </cell>
          <cell r="B151">
            <v>10.46900544142442</v>
          </cell>
        </row>
        <row r="152">
          <cell r="A152">
            <v>12.14849233661659</v>
          </cell>
          <cell r="B152">
            <v>13.571360952218731</v>
          </cell>
        </row>
        <row r="153">
          <cell r="A153">
            <v>13.125246425172939</v>
          </cell>
          <cell r="B153">
            <v>12.687647522027531</v>
          </cell>
        </row>
        <row r="154">
          <cell r="A154">
            <v>13.17322410474849</v>
          </cell>
          <cell r="B154">
            <v>13.07567982151704</v>
          </cell>
        </row>
        <row r="155">
          <cell r="A155">
            <v>19.659987639210751</v>
          </cell>
          <cell r="B155">
            <v>13.069917525368069</v>
          </cell>
        </row>
        <row r="156">
          <cell r="A156">
            <v>18.1161268485805</v>
          </cell>
          <cell r="B156">
            <v>10.648401876235249</v>
          </cell>
        </row>
        <row r="157">
          <cell r="A157">
            <v>15.146536236649339</v>
          </cell>
          <cell r="B157">
            <v>14.52484757594414</v>
          </cell>
        </row>
        <row r="158">
          <cell r="A158">
            <v>12.64282429098682</v>
          </cell>
          <cell r="B158">
            <v>11.95510418017397</v>
          </cell>
        </row>
        <row r="159">
          <cell r="A159">
            <v>14.93288725557238</v>
          </cell>
          <cell r="B159">
            <v>13.43088248642175</v>
          </cell>
        </row>
        <row r="160">
          <cell r="A160">
            <v>21.236916460455891</v>
          </cell>
          <cell r="B160">
            <v>15.75548378516277</v>
          </cell>
        </row>
        <row r="161">
          <cell r="A161">
            <v>12.40434825139867</v>
          </cell>
          <cell r="B161">
            <v>10.242459458754769</v>
          </cell>
        </row>
        <row r="162">
          <cell r="A162">
            <v>24.328276804316911</v>
          </cell>
          <cell r="B162">
            <v>15.092852559991121</v>
          </cell>
        </row>
        <row r="163">
          <cell r="A163">
            <v>15.51265916488634</v>
          </cell>
          <cell r="B163">
            <v>13.391618805698091</v>
          </cell>
        </row>
        <row r="164">
          <cell r="A164">
            <v>12.39354230187123</v>
          </cell>
          <cell r="B164">
            <v>12.256417270036311</v>
          </cell>
        </row>
        <row r="165">
          <cell r="A165">
            <v>17.579297789503698</v>
          </cell>
          <cell r="B165">
            <v>19.33973760273928</v>
          </cell>
        </row>
        <row r="166">
          <cell r="A166">
            <v>8.5896588408241445</v>
          </cell>
          <cell r="B166">
            <v>13.666597849211909</v>
          </cell>
        </row>
        <row r="167">
          <cell r="A167">
            <v>7.4816880646221611</v>
          </cell>
          <cell r="B167">
            <v>12.62400762397386</v>
          </cell>
        </row>
        <row r="168">
          <cell r="A168">
            <v>14.206390463468249</v>
          </cell>
          <cell r="B168">
            <v>14.81795993977811</v>
          </cell>
        </row>
        <row r="169">
          <cell r="A169">
            <v>13.411030079997239</v>
          </cell>
          <cell r="B169">
            <v>10.224654640200299</v>
          </cell>
        </row>
        <row r="170">
          <cell r="A170">
            <v>10.948396491326969</v>
          </cell>
          <cell r="B170">
            <v>15.016864536819719</v>
          </cell>
        </row>
        <row r="171">
          <cell r="A171">
            <v>15.877305941998561</v>
          </cell>
          <cell r="B171">
            <v>13.5767790708205</v>
          </cell>
        </row>
        <row r="172">
          <cell r="A172">
            <v>16.623131917821251</v>
          </cell>
          <cell r="B172">
            <v>18.429304238668081</v>
          </cell>
        </row>
        <row r="173">
          <cell r="A173">
            <v>12.555242785187239</v>
          </cell>
          <cell r="B173">
            <v>14.71801004901179</v>
          </cell>
        </row>
        <row r="174">
          <cell r="A174">
            <v>12.59209485751728</v>
          </cell>
          <cell r="B174">
            <v>18.7667016854206</v>
          </cell>
        </row>
        <row r="175">
          <cell r="A175">
            <v>17.961449145292949</v>
          </cell>
          <cell r="B175">
            <v>17.432208229196821</v>
          </cell>
        </row>
        <row r="176">
          <cell r="A176">
            <v>14.17057598740832</v>
          </cell>
          <cell r="B176">
            <v>17.702897190276499</v>
          </cell>
        </row>
        <row r="177">
          <cell r="A177">
            <v>9.1383453996650097</v>
          </cell>
          <cell r="B177">
            <v>11.15677986477284</v>
          </cell>
        </row>
        <row r="178">
          <cell r="A178">
            <v>7.4135916245180118</v>
          </cell>
          <cell r="B178">
            <v>8.3635787739213399</v>
          </cell>
        </row>
        <row r="179">
          <cell r="A179">
            <v>9.0065009459389529</v>
          </cell>
          <cell r="B179">
            <v>9.8859895735005967</v>
          </cell>
        </row>
        <row r="180">
          <cell r="A180">
            <v>18.726767038578661</v>
          </cell>
          <cell r="B180">
            <v>12.11636004185528</v>
          </cell>
        </row>
        <row r="181">
          <cell r="A181">
            <v>24.867671583381021</v>
          </cell>
          <cell r="B181">
            <v>16.111705997573811</v>
          </cell>
        </row>
        <row r="182">
          <cell r="A182">
            <v>9.3600845832948103</v>
          </cell>
          <cell r="B182">
            <v>15.42393892409355</v>
          </cell>
        </row>
        <row r="183">
          <cell r="A183">
            <v>16.312833673882501</v>
          </cell>
          <cell r="B183">
            <v>22.449473364547892</v>
          </cell>
        </row>
        <row r="184">
          <cell r="A184">
            <v>13.57142122179186</v>
          </cell>
          <cell r="B184">
            <v>11.86772619371134</v>
          </cell>
        </row>
        <row r="185">
          <cell r="A185">
            <v>5.4645537509694444</v>
          </cell>
          <cell r="B185">
            <v>9.2099137871603993</v>
          </cell>
        </row>
        <row r="186">
          <cell r="A186">
            <v>14.24123620762159</v>
          </cell>
          <cell r="B186">
            <v>16.072799401406179</v>
          </cell>
        </row>
        <row r="187">
          <cell r="A187">
            <v>11.88826860733707</v>
          </cell>
          <cell r="B187">
            <v>9.4077383272876762</v>
          </cell>
        </row>
        <row r="188">
          <cell r="A188">
            <v>15.35700024704605</v>
          </cell>
          <cell r="B188">
            <v>15.18444788047703</v>
          </cell>
        </row>
        <row r="189">
          <cell r="A189">
            <v>16.236618812286771</v>
          </cell>
          <cell r="B189">
            <v>11.922808079836431</v>
          </cell>
        </row>
        <row r="190">
          <cell r="A190">
            <v>16.963585543671559</v>
          </cell>
          <cell r="B190">
            <v>15.234096367325551</v>
          </cell>
        </row>
        <row r="191">
          <cell r="A191">
            <v>12.576603140965799</v>
          </cell>
          <cell r="B191">
            <v>15.60885032699257</v>
          </cell>
        </row>
        <row r="192">
          <cell r="A192">
            <v>16.242576387657071</v>
          </cell>
          <cell r="B192">
            <v>12.12390774916199</v>
          </cell>
        </row>
        <row r="193">
          <cell r="A193">
            <v>20.77674252396649</v>
          </cell>
          <cell r="B193">
            <v>16.782294076875068</v>
          </cell>
        </row>
        <row r="194">
          <cell r="A194">
            <v>23.428199397161741</v>
          </cell>
          <cell r="B194">
            <v>17.048536158812219</v>
          </cell>
        </row>
        <row r="195">
          <cell r="A195">
            <v>16.107046872065101</v>
          </cell>
          <cell r="B195">
            <v>7.1744570572497341</v>
          </cell>
        </row>
        <row r="196">
          <cell r="A196">
            <v>21.377130610644009</v>
          </cell>
          <cell r="B196">
            <v>14.279561608611861</v>
          </cell>
        </row>
        <row r="197">
          <cell r="A197">
            <v>6.0865904629255914</v>
          </cell>
          <cell r="B197">
            <v>5.7217608074918491</v>
          </cell>
        </row>
        <row r="198">
          <cell r="A198">
            <v>13.19265868986442</v>
          </cell>
          <cell r="B198">
            <v>17.14733127712698</v>
          </cell>
        </row>
        <row r="199">
          <cell r="A199">
            <v>15.55807128189943</v>
          </cell>
          <cell r="B199">
            <v>13.74760773170124</v>
          </cell>
        </row>
        <row r="200">
          <cell r="A200">
            <v>19.076862552972759</v>
          </cell>
          <cell r="B200">
            <v>18.46693843136898</v>
          </cell>
        </row>
        <row r="201">
          <cell r="A201">
            <v>14.029104359223</v>
          </cell>
          <cell r="B201">
            <v>7.3066140165917606</v>
          </cell>
        </row>
        <row r="202">
          <cell r="A202">
            <v>19.428514851084689</v>
          </cell>
          <cell r="B202">
            <v>12.23218928376</v>
          </cell>
        </row>
        <row r="203">
          <cell r="A203">
            <v>18.178893680174141</v>
          </cell>
          <cell r="B203">
            <v>14.29639386071025</v>
          </cell>
        </row>
        <row r="204">
          <cell r="A204">
            <v>10.280392263184121</v>
          </cell>
          <cell r="B204">
            <v>7.6205587555453418</v>
          </cell>
        </row>
        <row r="205">
          <cell r="A205">
            <v>16.541525621587638</v>
          </cell>
          <cell r="B205">
            <v>18.898490406192561</v>
          </cell>
        </row>
        <row r="206">
          <cell r="A206">
            <v>19.526901026017448</v>
          </cell>
          <cell r="B206">
            <v>17.27027384743247</v>
          </cell>
        </row>
        <row r="207">
          <cell r="A207">
            <v>10.31116531602146</v>
          </cell>
          <cell r="B207">
            <v>13.448450906094591</v>
          </cell>
        </row>
        <row r="208">
          <cell r="A208">
            <v>12.531087480042441</v>
          </cell>
          <cell r="B208">
            <v>12.97237544123495</v>
          </cell>
        </row>
        <row r="209">
          <cell r="A209">
            <v>14.25751763360433</v>
          </cell>
          <cell r="B209">
            <v>11.595320719803</v>
          </cell>
        </row>
        <row r="210">
          <cell r="A210">
            <v>16.2568929754561</v>
          </cell>
          <cell r="B210">
            <v>9.1696915503658083</v>
          </cell>
        </row>
        <row r="211">
          <cell r="A211">
            <v>12.25752384315302</v>
          </cell>
          <cell r="B211">
            <v>16.448336738348701</v>
          </cell>
        </row>
        <row r="212">
          <cell r="A212">
            <v>15.926365745327359</v>
          </cell>
          <cell r="B212">
            <v>18.591826771959031</v>
          </cell>
        </row>
        <row r="213">
          <cell r="A213">
            <v>11.28544525534658</v>
          </cell>
          <cell r="B213">
            <v>11.157780762989439</v>
          </cell>
        </row>
        <row r="214">
          <cell r="A214">
            <v>16.567782820090301</v>
          </cell>
          <cell r="B214">
            <v>13.972835298955481</v>
          </cell>
        </row>
        <row r="215">
          <cell r="A215">
            <v>16.477000881746601</v>
          </cell>
          <cell r="B215">
            <v>12.58964047567537</v>
          </cell>
        </row>
        <row r="216">
          <cell r="A216">
            <v>13.3256956256529</v>
          </cell>
          <cell r="B216">
            <v>14.371658607281841</v>
          </cell>
        </row>
        <row r="217">
          <cell r="A217">
            <v>16.84236537767983</v>
          </cell>
          <cell r="B217">
            <v>16.170774142705081</v>
          </cell>
        </row>
        <row r="218">
          <cell r="A218">
            <v>10.37948461024663</v>
          </cell>
          <cell r="B218">
            <v>15.19947896214626</v>
          </cell>
        </row>
        <row r="219">
          <cell r="A219">
            <v>11.61358739273121</v>
          </cell>
          <cell r="B219">
            <v>8.650185209567935</v>
          </cell>
        </row>
        <row r="220">
          <cell r="A220">
            <v>12.881590696629999</v>
          </cell>
          <cell r="B220">
            <v>14.669874883324381</v>
          </cell>
        </row>
        <row r="221">
          <cell r="A221">
            <v>14.757318226085451</v>
          </cell>
          <cell r="B221">
            <v>8.7653389998218803</v>
          </cell>
        </row>
        <row r="222">
          <cell r="A222">
            <v>9.040937069693161</v>
          </cell>
          <cell r="B222">
            <v>8.3133680659232727</v>
          </cell>
        </row>
        <row r="223">
          <cell r="A223">
            <v>7.1573292833367539</v>
          </cell>
          <cell r="B223">
            <v>12.95691997258618</v>
          </cell>
        </row>
        <row r="224">
          <cell r="A224">
            <v>13.066367403704129</v>
          </cell>
          <cell r="B224">
            <v>11.553318371481801</v>
          </cell>
        </row>
        <row r="225">
          <cell r="A225">
            <v>19.343130095187259</v>
          </cell>
          <cell r="B225">
            <v>12.71514515241282</v>
          </cell>
        </row>
        <row r="226">
          <cell r="A226">
            <v>11.19364206440518</v>
          </cell>
          <cell r="B226">
            <v>15.621098845933281</v>
          </cell>
        </row>
        <row r="227">
          <cell r="A227">
            <v>9.7640340671052837</v>
          </cell>
          <cell r="B227">
            <v>14.052133215763879</v>
          </cell>
        </row>
        <row r="228">
          <cell r="A228">
            <v>18.544475298483679</v>
          </cell>
          <cell r="B228">
            <v>11.59008203691287</v>
          </cell>
        </row>
        <row r="229">
          <cell r="A229">
            <v>17.032140009547732</v>
          </cell>
          <cell r="B229">
            <v>3.0052545539187729</v>
          </cell>
        </row>
        <row r="230">
          <cell r="A230">
            <v>17.461127611035351</v>
          </cell>
          <cell r="B230">
            <v>11.136391050571451</v>
          </cell>
        </row>
        <row r="231">
          <cell r="A231">
            <v>12.64234814537002</v>
          </cell>
          <cell r="B231">
            <v>15.353077633484091</v>
          </cell>
        </row>
        <row r="232">
          <cell r="A232">
            <v>20.339798874467341</v>
          </cell>
          <cell r="B232">
            <v>17.623771690471759</v>
          </cell>
        </row>
        <row r="233">
          <cell r="A233">
            <v>12.63481668414143</v>
          </cell>
          <cell r="B233">
            <v>14.824961768667629</v>
          </cell>
        </row>
        <row r="234">
          <cell r="A234">
            <v>13.10822929479099</v>
          </cell>
          <cell r="B234">
            <v>12.741144868290631</v>
          </cell>
        </row>
        <row r="235">
          <cell r="A235">
            <v>18.022785919951911</v>
          </cell>
          <cell r="B235">
            <v>11.590903801834511</v>
          </cell>
        </row>
        <row r="236">
          <cell r="A236">
            <v>20.674199826197089</v>
          </cell>
          <cell r="B236">
            <v>15.957554632655601</v>
          </cell>
        </row>
        <row r="237">
          <cell r="A237">
            <v>11.07197204466266</v>
          </cell>
          <cell r="B237">
            <v>11.89158378153048</v>
          </cell>
        </row>
        <row r="238">
          <cell r="A238">
            <v>18.316959511159009</v>
          </cell>
          <cell r="B238">
            <v>14.105486130637059</v>
          </cell>
        </row>
        <row r="239">
          <cell r="A239">
            <v>16.987428706671199</v>
          </cell>
          <cell r="B239">
            <v>16.408711015399739</v>
          </cell>
        </row>
        <row r="240">
          <cell r="A240">
            <v>15.09322715738471</v>
          </cell>
          <cell r="B240">
            <v>15.60553488681248</v>
          </cell>
        </row>
        <row r="241">
          <cell r="A241">
            <v>12.66910676761581</v>
          </cell>
          <cell r="B241">
            <v>12.41107135303216</v>
          </cell>
        </row>
        <row r="242">
          <cell r="A242">
            <v>21.426216667398108</v>
          </cell>
          <cell r="B242">
            <v>15.780962394058269</v>
          </cell>
        </row>
        <row r="243">
          <cell r="A243">
            <v>13.60373963078365</v>
          </cell>
          <cell r="B243">
            <v>12.92099229096441</v>
          </cell>
        </row>
        <row r="244">
          <cell r="A244">
            <v>11.94263177926655</v>
          </cell>
          <cell r="B244">
            <v>15.111929896996079</v>
          </cell>
        </row>
        <row r="245">
          <cell r="A245">
            <v>12.252493639490231</v>
          </cell>
          <cell r="B245">
            <v>17.139588115991881</v>
          </cell>
        </row>
        <row r="246">
          <cell r="A246">
            <v>22.43287759708506</v>
          </cell>
          <cell r="B246">
            <v>18.077021935919529</v>
          </cell>
        </row>
        <row r="247">
          <cell r="A247">
            <v>18.39985179647211</v>
          </cell>
          <cell r="B247">
            <v>13.205001542880639</v>
          </cell>
        </row>
        <row r="248">
          <cell r="A248">
            <v>20.83274938207953</v>
          </cell>
          <cell r="B248">
            <v>16.41049876970343</v>
          </cell>
        </row>
        <row r="249">
          <cell r="A249">
            <v>12.762527344419521</v>
          </cell>
          <cell r="B249">
            <v>9.9863709284476005</v>
          </cell>
        </row>
        <row r="250">
          <cell r="A250">
            <v>11.673335383713139</v>
          </cell>
          <cell r="B250">
            <v>10.27809612523933</v>
          </cell>
        </row>
        <row r="251">
          <cell r="A251">
            <v>14.882727120140551</v>
          </cell>
          <cell r="B251">
            <v>11.11449502615293</v>
          </cell>
        </row>
        <row r="252">
          <cell r="A252">
            <v>10.20249085548048</v>
          </cell>
          <cell r="B252">
            <v>15.52473324927319</v>
          </cell>
        </row>
        <row r="253">
          <cell r="A253">
            <v>22.369558022832479</v>
          </cell>
          <cell r="B253">
            <v>17.339900653426739</v>
          </cell>
        </row>
        <row r="254">
          <cell r="A254">
            <v>15.458930973527391</v>
          </cell>
          <cell r="B254">
            <v>13.68962559377943</v>
          </cell>
        </row>
        <row r="255">
          <cell r="A255">
            <v>26.061078098506322</v>
          </cell>
          <cell r="B255">
            <v>17.547493797688219</v>
          </cell>
        </row>
        <row r="256">
          <cell r="A256">
            <v>15.516232630275571</v>
          </cell>
          <cell r="B256">
            <v>13.933968741826829</v>
          </cell>
        </row>
        <row r="257">
          <cell r="A257">
            <v>11.24031501702299</v>
          </cell>
          <cell r="B257">
            <v>15.045733601965001</v>
          </cell>
        </row>
        <row r="258">
          <cell r="A258">
            <v>15.757882963566869</v>
          </cell>
          <cell r="B258">
            <v>8.1179702546868704</v>
          </cell>
        </row>
        <row r="259">
          <cell r="A259">
            <v>7.6334555745933113</v>
          </cell>
          <cell r="B259">
            <v>10.37135575041046</v>
          </cell>
        </row>
        <row r="260">
          <cell r="A260">
            <v>20.646165267190611</v>
          </cell>
          <cell r="B260">
            <v>17.008002809339899</v>
          </cell>
        </row>
        <row r="261">
          <cell r="A261">
            <v>10.22190971407311</v>
          </cell>
          <cell r="B261">
            <v>12.3219200052316</v>
          </cell>
        </row>
        <row r="262">
          <cell r="A262">
            <v>17.387317026714669</v>
          </cell>
          <cell r="B262">
            <v>11.62332668179614</v>
          </cell>
        </row>
        <row r="263">
          <cell r="A263">
            <v>11.536534764210961</v>
          </cell>
          <cell r="B263">
            <v>16.136270958977331</v>
          </cell>
        </row>
        <row r="264">
          <cell r="A264">
            <v>12.970237321969099</v>
          </cell>
          <cell r="B264">
            <v>13.151274802202931</v>
          </cell>
        </row>
        <row r="265">
          <cell r="A265">
            <v>15.37936632996546</v>
          </cell>
          <cell r="B265">
            <v>17.243524077586098</v>
          </cell>
        </row>
        <row r="266">
          <cell r="A266">
            <v>8.4878061793328552</v>
          </cell>
          <cell r="B266">
            <v>10.116153266875759</v>
          </cell>
        </row>
        <row r="267">
          <cell r="A267">
            <v>12.87371592430342</v>
          </cell>
          <cell r="B267">
            <v>15.346063839118081</v>
          </cell>
        </row>
        <row r="268">
          <cell r="A268">
            <v>16.376108409017579</v>
          </cell>
          <cell r="B268">
            <v>14.69438628509203</v>
          </cell>
        </row>
        <row r="269">
          <cell r="A269">
            <v>15.81620565196582</v>
          </cell>
          <cell r="B269">
            <v>15.4439708080715</v>
          </cell>
        </row>
        <row r="270">
          <cell r="A270">
            <v>16.284929311019681</v>
          </cell>
          <cell r="B270">
            <v>12.949059471848781</v>
          </cell>
        </row>
        <row r="271">
          <cell r="A271">
            <v>16.779977756651508</v>
          </cell>
          <cell r="B271">
            <v>12.58318570885109</v>
          </cell>
        </row>
        <row r="272">
          <cell r="A272">
            <v>22.065370288643049</v>
          </cell>
          <cell r="B272">
            <v>18.885335667289219</v>
          </cell>
        </row>
        <row r="273">
          <cell r="A273">
            <v>13.720636644533061</v>
          </cell>
          <cell r="B273">
            <v>14.10632864884054</v>
          </cell>
        </row>
        <row r="274">
          <cell r="A274">
            <v>11.282068924410281</v>
          </cell>
          <cell r="B274">
            <v>8.8369622790465954</v>
          </cell>
        </row>
        <row r="275">
          <cell r="A275">
            <v>19.581581876077479</v>
          </cell>
          <cell r="B275">
            <v>14.95272548672196</v>
          </cell>
        </row>
        <row r="276">
          <cell r="A276">
            <v>15.00511653050979</v>
          </cell>
          <cell r="B276">
            <v>14.476589567222449</v>
          </cell>
        </row>
        <row r="277">
          <cell r="A277">
            <v>20.50924567447602</v>
          </cell>
          <cell r="B277">
            <v>9.1898445612457245</v>
          </cell>
        </row>
        <row r="278">
          <cell r="A278">
            <v>13.231051737131629</v>
          </cell>
          <cell r="B278">
            <v>15.96806572134439</v>
          </cell>
        </row>
        <row r="279">
          <cell r="A279">
            <v>17.09952984778673</v>
          </cell>
          <cell r="B279">
            <v>14.42226723893422</v>
          </cell>
        </row>
        <row r="280">
          <cell r="A280">
            <v>15.6998915614206</v>
          </cell>
          <cell r="B280">
            <v>15.146096053813441</v>
          </cell>
        </row>
        <row r="281">
          <cell r="A281">
            <v>9.0349010424950098</v>
          </cell>
          <cell r="B281">
            <v>15.07273054217332</v>
          </cell>
        </row>
        <row r="282">
          <cell r="A282">
            <v>14.80734320156912</v>
          </cell>
          <cell r="B282">
            <v>13.475575098213509</v>
          </cell>
        </row>
        <row r="283">
          <cell r="A283">
            <v>17.05675867262562</v>
          </cell>
          <cell r="B283">
            <v>12.277574427332761</v>
          </cell>
        </row>
        <row r="284">
          <cell r="A284">
            <v>18.331065337260519</v>
          </cell>
          <cell r="B284">
            <v>10.12156315858414</v>
          </cell>
        </row>
        <row r="285">
          <cell r="A285">
            <v>13.79300840807268</v>
          </cell>
          <cell r="B285">
            <v>14.963144831936759</v>
          </cell>
        </row>
        <row r="286">
          <cell r="A286">
            <v>16.38109225058658</v>
          </cell>
          <cell r="B286">
            <v>18.04273469366494</v>
          </cell>
        </row>
        <row r="287">
          <cell r="A287">
            <v>10.06651668732813</v>
          </cell>
          <cell r="B287">
            <v>7.2920266539287484</v>
          </cell>
        </row>
        <row r="288">
          <cell r="A288">
            <v>11.023956100238751</v>
          </cell>
          <cell r="B288">
            <v>12.38286670937997</v>
          </cell>
        </row>
        <row r="289">
          <cell r="A289">
            <v>20.924107452482211</v>
          </cell>
          <cell r="B289">
            <v>13.15709877568721</v>
          </cell>
        </row>
        <row r="290">
          <cell r="A290">
            <v>19.294158603242291</v>
          </cell>
          <cell r="B290">
            <v>13.69327463099668</v>
          </cell>
        </row>
        <row r="291">
          <cell r="A291">
            <v>16.14049593386752</v>
          </cell>
          <cell r="B291">
            <v>16.519262814544849</v>
          </cell>
        </row>
        <row r="292">
          <cell r="A292">
            <v>10.6886502400897</v>
          </cell>
          <cell r="B292">
            <v>16.679256566181731</v>
          </cell>
        </row>
        <row r="293">
          <cell r="A293">
            <v>11.895938874821359</v>
          </cell>
          <cell r="B293">
            <v>13.451956657493749</v>
          </cell>
        </row>
        <row r="294">
          <cell r="A294">
            <v>16.753499532670581</v>
          </cell>
          <cell r="B294">
            <v>18.587890424085479</v>
          </cell>
        </row>
        <row r="295">
          <cell r="A295">
            <v>20.70531762152789</v>
          </cell>
          <cell r="B295">
            <v>15.587223724541071</v>
          </cell>
        </row>
        <row r="296">
          <cell r="A296">
            <v>12.42480104851051</v>
          </cell>
          <cell r="B296">
            <v>11.26375835302739</v>
          </cell>
        </row>
        <row r="297">
          <cell r="A297">
            <v>20.178507742982529</v>
          </cell>
          <cell r="B297">
            <v>16.728695129807871</v>
          </cell>
        </row>
        <row r="298">
          <cell r="A298">
            <v>10.653545202369671</v>
          </cell>
          <cell r="B298">
            <v>11.16648624823911</v>
          </cell>
        </row>
        <row r="299">
          <cell r="A299">
            <v>22.44979993771663</v>
          </cell>
          <cell r="B299">
            <v>15.160143663267281</v>
          </cell>
        </row>
        <row r="300">
          <cell r="A300">
            <v>16.153649760438309</v>
          </cell>
          <cell r="B300">
            <v>17.474562880150891</v>
          </cell>
        </row>
        <row r="301">
          <cell r="A301">
            <v>10.40643105941948</v>
          </cell>
          <cell r="B301">
            <v>14.49154026034563</v>
          </cell>
        </row>
        <row r="302">
          <cell r="A302">
            <v>20.31481442096181</v>
          </cell>
          <cell r="B302">
            <v>15.75415058341151</v>
          </cell>
        </row>
        <row r="303">
          <cell r="A303">
            <v>16.585502494538961</v>
          </cell>
          <cell r="B303">
            <v>11.15691405960847</v>
          </cell>
        </row>
        <row r="304">
          <cell r="A304">
            <v>12.719909479901521</v>
          </cell>
          <cell r="B304">
            <v>11.161503755304119</v>
          </cell>
        </row>
        <row r="305">
          <cell r="A305">
            <v>15.37364680256163</v>
          </cell>
          <cell r="B305">
            <v>12.39247495112037</v>
          </cell>
        </row>
        <row r="306">
          <cell r="A306">
            <v>19.30518513271673</v>
          </cell>
          <cell r="B306">
            <v>13.24057058571961</v>
          </cell>
        </row>
        <row r="307">
          <cell r="A307">
            <v>16.98954920301793</v>
          </cell>
          <cell r="B307">
            <v>13.88661646673977</v>
          </cell>
        </row>
        <row r="308">
          <cell r="A308">
            <v>21.058663691654392</v>
          </cell>
          <cell r="B308">
            <v>14.46676739518535</v>
          </cell>
        </row>
        <row r="309">
          <cell r="A309">
            <v>13.63883244789421</v>
          </cell>
          <cell r="B309">
            <v>13.1674539797813</v>
          </cell>
        </row>
        <row r="310">
          <cell r="A310">
            <v>15.704214305582081</v>
          </cell>
          <cell r="B310">
            <v>16.856043716951859</v>
          </cell>
        </row>
        <row r="311">
          <cell r="A311">
            <v>15.27354869058502</v>
          </cell>
          <cell r="B311">
            <v>13.31682280797399</v>
          </cell>
        </row>
        <row r="312">
          <cell r="A312">
            <v>11.89890367378305</v>
          </cell>
          <cell r="B312">
            <v>11.012378368812071</v>
          </cell>
        </row>
        <row r="313">
          <cell r="A313">
            <v>3.8911593983863901</v>
          </cell>
          <cell r="B313">
            <v>10.01700108016588</v>
          </cell>
        </row>
        <row r="314">
          <cell r="A314">
            <v>19.549388425993591</v>
          </cell>
          <cell r="B314">
            <v>18.738651022415819</v>
          </cell>
        </row>
        <row r="315">
          <cell r="A315">
            <v>10.412708174494011</v>
          </cell>
          <cell r="B315">
            <v>12.668379203789041</v>
          </cell>
        </row>
        <row r="316">
          <cell r="A316">
            <v>18.406754818000319</v>
          </cell>
          <cell r="B316">
            <v>14.898181097920149</v>
          </cell>
        </row>
        <row r="317">
          <cell r="A317">
            <v>16.652739403577161</v>
          </cell>
          <cell r="B317">
            <v>10.51273376444491</v>
          </cell>
        </row>
        <row r="318">
          <cell r="A318">
            <v>7.0105019208163792</v>
          </cell>
          <cell r="B318">
            <v>11.280425724683971</v>
          </cell>
        </row>
        <row r="319">
          <cell r="A319">
            <v>15.340976485647481</v>
          </cell>
          <cell r="B319">
            <v>16.70296377278223</v>
          </cell>
        </row>
        <row r="320">
          <cell r="A320">
            <v>14.84486662170327</v>
          </cell>
          <cell r="B320">
            <v>14.933722650572021</v>
          </cell>
        </row>
        <row r="321">
          <cell r="A321">
            <v>19.16208317624422</v>
          </cell>
          <cell r="B321">
            <v>11.5686776944464</v>
          </cell>
        </row>
        <row r="322">
          <cell r="A322">
            <v>13.934928472816161</v>
          </cell>
          <cell r="B322">
            <v>11.935721789272449</v>
          </cell>
        </row>
        <row r="323">
          <cell r="A323">
            <v>19.048497982496361</v>
          </cell>
          <cell r="B323">
            <v>18.852906084073641</v>
          </cell>
        </row>
        <row r="324">
          <cell r="A324">
            <v>14.297578512718459</v>
          </cell>
          <cell r="B324">
            <v>8.8093833328945621</v>
          </cell>
        </row>
        <row r="325">
          <cell r="A325">
            <v>9.5908896583832632</v>
          </cell>
          <cell r="B325">
            <v>7.9605922127176107</v>
          </cell>
        </row>
        <row r="326">
          <cell r="A326">
            <v>17.04619363784273</v>
          </cell>
          <cell r="B326">
            <v>14.130040194724501</v>
          </cell>
        </row>
        <row r="327">
          <cell r="A327">
            <v>16.496991309250149</v>
          </cell>
          <cell r="B327">
            <v>9.8675247867703</v>
          </cell>
        </row>
        <row r="328">
          <cell r="A328">
            <v>15.39290569360613</v>
          </cell>
          <cell r="B328">
            <v>12.535489086078121</v>
          </cell>
        </row>
        <row r="329">
          <cell r="A329">
            <v>14.57905543675003</v>
          </cell>
          <cell r="B329">
            <v>10.534392134404969</v>
          </cell>
        </row>
        <row r="330">
          <cell r="A330">
            <v>13.39583134698147</v>
          </cell>
          <cell r="B330">
            <v>15.45505985009347</v>
          </cell>
        </row>
        <row r="331">
          <cell r="A331">
            <v>6.3120599085260771</v>
          </cell>
          <cell r="B331">
            <v>9.7356556355500476</v>
          </cell>
        </row>
        <row r="332">
          <cell r="A332">
            <v>15.314172754632139</v>
          </cell>
          <cell r="B332">
            <v>16.244567283921679</v>
          </cell>
        </row>
        <row r="333">
          <cell r="A333">
            <v>14.993876613576539</v>
          </cell>
          <cell r="B333">
            <v>12.144844579077381</v>
          </cell>
        </row>
        <row r="334">
          <cell r="A334">
            <v>10.55137281425708</v>
          </cell>
          <cell r="B334">
            <v>13.15166643970818</v>
          </cell>
        </row>
        <row r="335">
          <cell r="A335">
            <v>14.03790227909686</v>
          </cell>
          <cell r="B335">
            <v>11.153189732257831</v>
          </cell>
        </row>
        <row r="336">
          <cell r="A336">
            <v>16.66141914424394</v>
          </cell>
          <cell r="B336">
            <v>12.387792251782811</v>
          </cell>
        </row>
        <row r="337">
          <cell r="A337">
            <v>13.48755986670888</v>
          </cell>
          <cell r="B337">
            <v>21.001107601809551</v>
          </cell>
        </row>
        <row r="338">
          <cell r="A338">
            <v>14.92647130924893</v>
          </cell>
          <cell r="B338">
            <v>15.191152792670829</v>
          </cell>
        </row>
        <row r="339">
          <cell r="A339">
            <v>16.587251401603741</v>
          </cell>
          <cell r="B339">
            <v>15.338024620183811</v>
          </cell>
        </row>
        <row r="340">
          <cell r="A340">
            <v>7.8393070791735031</v>
          </cell>
          <cell r="B340">
            <v>8.7538113236033688</v>
          </cell>
        </row>
        <row r="341">
          <cell r="A341">
            <v>23.206465727137811</v>
          </cell>
          <cell r="B341">
            <v>18.296160588856701</v>
          </cell>
        </row>
        <row r="342">
          <cell r="A342">
            <v>13.71813772359801</v>
          </cell>
          <cell r="B342">
            <v>14.007239455342191</v>
          </cell>
        </row>
        <row r="343">
          <cell r="A343">
            <v>13.58888980221678</v>
          </cell>
          <cell r="B343">
            <v>13.650945595322449</v>
          </cell>
        </row>
        <row r="344">
          <cell r="A344">
            <v>23.121843605745951</v>
          </cell>
          <cell r="B344">
            <v>14.07678432418601</v>
          </cell>
        </row>
        <row r="345">
          <cell r="A345">
            <v>11.12248328555436</v>
          </cell>
          <cell r="B345">
            <v>13.50432223907803</v>
          </cell>
        </row>
        <row r="346">
          <cell r="A346">
            <v>8.7465284123144347</v>
          </cell>
          <cell r="B346">
            <v>10.510039980214779</v>
          </cell>
        </row>
        <row r="347">
          <cell r="A347">
            <v>8.7644808471908391</v>
          </cell>
          <cell r="B347">
            <v>19.867427018916981</v>
          </cell>
        </row>
        <row r="348">
          <cell r="A348">
            <v>8.1160249686788184</v>
          </cell>
          <cell r="B348">
            <v>8.5354716071805239</v>
          </cell>
        </row>
        <row r="349">
          <cell r="A349">
            <v>19.27595782925134</v>
          </cell>
          <cell r="B349">
            <v>14.34295868179376</v>
          </cell>
        </row>
        <row r="350">
          <cell r="A350">
            <v>18.29626811281172</v>
          </cell>
          <cell r="B350">
            <v>18.925294673416069</v>
          </cell>
        </row>
        <row r="351">
          <cell r="A351">
            <v>15.64077788937378</v>
          </cell>
          <cell r="B351">
            <v>9.7811408679701373</v>
          </cell>
        </row>
        <row r="352">
          <cell r="A352">
            <v>11.89327642414408</v>
          </cell>
          <cell r="B352">
            <v>13.00948781512604</v>
          </cell>
        </row>
        <row r="353">
          <cell r="A353">
            <v>13.155453782799</v>
          </cell>
          <cell r="B353">
            <v>11.98077139851887</v>
          </cell>
        </row>
        <row r="354">
          <cell r="A354">
            <v>13.73767810847478</v>
          </cell>
          <cell r="B354">
            <v>12.238474662360071</v>
          </cell>
        </row>
        <row r="355">
          <cell r="A355">
            <v>20.428829811601009</v>
          </cell>
          <cell r="B355">
            <v>11.56935880512207</v>
          </cell>
        </row>
        <row r="356">
          <cell r="A356">
            <v>17.92003073501829</v>
          </cell>
          <cell r="B356">
            <v>11.207856543549889</v>
          </cell>
        </row>
        <row r="357">
          <cell r="A357">
            <v>14.99049189604866</v>
          </cell>
          <cell r="B357">
            <v>13.623946490309139</v>
          </cell>
        </row>
        <row r="358">
          <cell r="A358">
            <v>12.498735317681099</v>
          </cell>
          <cell r="B358">
            <v>14.08608550184587</v>
          </cell>
        </row>
        <row r="359">
          <cell r="A359">
            <v>13.990743432003811</v>
          </cell>
          <cell r="B359">
            <v>14.11752937388912</v>
          </cell>
        </row>
        <row r="360">
          <cell r="A360">
            <v>20.85567068053993</v>
          </cell>
          <cell r="B360">
            <v>16.18765980322291</v>
          </cell>
        </row>
        <row r="361">
          <cell r="A361">
            <v>13.161359280169041</v>
          </cell>
          <cell r="B361">
            <v>9.3654925129631117</v>
          </cell>
        </row>
        <row r="362">
          <cell r="A362">
            <v>23.586384528223839</v>
          </cell>
          <cell r="B362">
            <v>15.87775861215159</v>
          </cell>
        </row>
        <row r="363">
          <cell r="A363">
            <v>16.259673257120589</v>
          </cell>
          <cell r="B363">
            <v>12.78582992750416</v>
          </cell>
        </row>
        <row r="364">
          <cell r="A364">
            <v>12.766369456501289</v>
          </cell>
          <cell r="B364">
            <v>10.889043581236249</v>
          </cell>
        </row>
        <row r="365">
          <cell r="A365">
            <v>16.94561992577157</v>
          </cell>
          <cell r="B365">
            <v>20.52200948712526</v>
          </cell>
        </row>
        <row r="366">
          <cell r="A366">
            <v>9.2008558610494706</v>
          </cell>
          <cell r="B366">
            <v>13.82757239192215</v>
          </cell>
        </row>
        <row r="367">
          <cell r="A367">
            <v>7.3450719958555561</v>
          </cell>
          <cell r="B367">
            <v>12.587649206859069</v>
          </cell>
        </row>
        <row r="368">
          <cell r="A368">
            <v>13.79938976405708</v>
          </cell>
          <cell r="B368">
            <v>14.61138920330508</v>
          </cell>
        </row>
        <row r="369">
          <cell r="A369">
            <v>13.11204624090521</v>
          </cell>
          <cell r="B369">
            <v>11.62684987147693</v>
          </cell>
        </row>
        <row r="370">
          <cell r="A370">
            <v>10.006296200390899</v>
          </cell>
          <cell r="B370">
            <v>16.96208539940676</v>
          </cell>
        </row>
        <row r="371">
          <cell r="A371">
            <v>16.048838049274419</v>
          </cell>
          <cell r="B371">
            <v>14.44745647508716</v>
          </cell>
        </row>
        <row r="372">
          <cell r="A372">
            <v>16.613495108072271</v>
          </cell>
          <cell r="B372">
            <v>19.944077668094849</v>
          </cell>
        </row>
        <row r="373">
          <cell r="A373">
            <v>13.01225508712947</v>
          </cell>
          <cell r="B373">
            <v>15.20054353839793</v>
          </cell>
        </row>
        <row r="374">
          <cell r="A374">
            <v>13.248999145622721</v>
          </cell>
          <cell r="B374">
            <v>17.19946882370191</v>
          </cell>
        </row>
        <row r="375">
          <cell r="A375">
            <v>18.72557180389752</v>
          </cell>
          <cell r="B375">
            <v>17.64604448490077</v>
          </cell>
        </row>
        <row r="376">
          <cell r="A376">
            <v>14.479635413042599</v>
          </cell>
          <cell r="B376">
            <v>18.53705567518141</v>
          </cell>
        </row>
        <row r="377">
          <cell r="A377">
            <v>10.076591228755779</v>
          </cell>
          <cell r="B377">
            <v>11.011462931496441</v>
          </cell>
        </row>
        <row r="378">
          <cell r="A378">
            <v>6.616326218555975</v>
          </cell>
          <cell r="B378">
            <v>8.8122161863035409</v>
          </cell>
        </row>
        <row r="379">
          <cell r="A379">
            <v>9.43616031836034</v>
          </cell>
          <cell r="B379">
            <v>9.2120633597471926</v>
          </cell>
        </row>
        <row r="380">
          <cell r="A380">
            <v>18.09167100286918</v>
          </cell>
          <cell r="B380">
            <v>11.403491361248349</v>
          </cell>
        </row>
        <row r="381">
          <cell r="A381">
            <v>26.094901466608839</v>
          </cell>
          <cell r="B381">
            <v>17.09461296924967</v>
          </cell>
        </row>
        <row r="382">
          <cell r="A382">
            <v>7.5958508573224242</v>
          </cell>
          <cell r="B382">
            <v>15.05778156213418</v>
          </cell>
        </row>
        <row r="383">
          <cell r="A383">
            <v>15.58013907890961</v>
          </cell>
          <cell r="B383">
            <v>22.33691657995508</v>
          </cell>
        </row>
        <row r="384">
          <cell r="A384">
            <v>13.70030367727799</v>
          </cell>
          <cell r="B384">
            <v>11.22368668234483</v>
          </cell>
        </row>
        <row r="385">
          <cell r="A385">
            <v>4.9380521378450961</v>
          </cell>
          <cell r="B385">
            <v>9.0331049765901739</v>
          </cell>
        </row>
        <row r="386">
          <cell r="A386">
            <v>13.737122489159621</v>
          </cell>
          <cell r="B386">
            <v>14.910724422641779</v>
          </cell>
        </row>
        <row r="387">
          <cell r="A387">
            <v>11.62043366922315</v>
          </cell>
          <cell r="B387">
            <v>9.6722852622984572</v>
          </cell>
        </row>
        <row r="388">
          <cell r="A388">
            <v>15.0751968932381</v>
          </cell>
          <cell r="B388">
            <v>15.767239977955031</v>
          </cell>
        </row>
        <row r="389">
          <cell r="A389">
            <v>16.170877987888581</v>
          </cell>
          <cell r="B389">
            <v>12.82810621769883</v>
          </cell>
        </row>
        <row r="390">
          <cell r="A390">
            <v>17.93808541960794</v>
          </cell>
          <cell r="B390">
            <v>16.150413481410801</v>
          </cell>
        </row>
        <row r="391">
          <cell r="A391">
            <v>13.475211919093031</v>
          </cell>
          <cell r="B391">
            <v>14.978499257390551</v>
          </cell>
        </row>
        <row r="392">
          <cell r="A392">
            <v>16.711548172168801</v>
          </cell>
          <cell r="B392">
            <v>11.56049377383701</v>
          </cell>
        </row>
        <row r="393">
          <cell r="A393">
            <v>20.550792664325819</v>
          </cell>
          <cell r="B393">
            <v>17.03293046421431</v>
          </cell>
        </row>
        <row r="394">
          <cell r="A394">
            <v>23.245959585753251</v>
          </cell>
          <cell r="B394">
            <v>17.52827775256198</v>
          </cell>
        </row>
        <row r="395">
          <cell r="A395">
            <v>15.339883396489681</v>
          </cell>
          <cell r="B395">
            <v>7.0292763652640211</v>
          </cell>
        </row>
        <row r="396">
          <cell r="A396">
            <v>22.915729382927179</v>
          </cell>
          <cell r="B396">
            <v>13.15227413183678</v>
          </cell>
        </row>
        <row r="397">
          <cell r="A397">
            <v>6.5897200603606434</v>
          </cell>
          <cell r="B397">
            <v>4.2387432682255364</v>
          </cell>
        </row>
        <row r="398">
          <cell r="A398">
            <v>12.76541217394765</v>
          </cell>
          <cell r="B398">
            <v>18.24154975365833</v>
          </cell>
        </row>
        <row r="399">
          <cell r="A399">
            <v>15.14343273545456</v>
          </cell>
          <cell r="B399">
            <v>13.908831578706939</v>
          </cell>
        </row>
        <row r="400">
          <cell r="A400">
            <v>19.67693618708271</v>
          </cell>
          <cell r="B400">
            <v>19.629123520577441</v>
          </cell>
        </row>
        <row r="401">
          <cell r="A401">
            <v>13.942730077373691</v>
          </cell>
          <cell r="B401">
            <v>7.6374421619363622</v>
          </cell>
        </row>
        <row r="402">
          <cell r="A402">
            <v>20.61890815598673</v>
          </cell>
          <cell r="B402">
            <v>11.98890823627562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C495-A2C7-4BDD-BF62-7A6D37901188}">
  <dimension ref="A1:G401"/>
  <sheetViews>
    <sheetView zoomScale="129" zoomScaleNormal="115" workbookViewId="0">
      <selection activeCell="C2" sqref="C2"/>
    </sheetView>
  </sheetViews>
  <sheetFormatPr defaultColWidth="10.76171875" defaultRowHeight="15" x14ac:dyDescent="0.2"/>
  <cols>
    <col min="1" max="1" width="13.046875" customWidth="1"/>
    <col min="2" max="2" width="19.50390625" customWidth="1"/>
  </cols>
  <sheetData>
    <row r="1" spans="1:7" ht="41.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>
        <v>45112</v>
      </c>
      <c r="B2" s="4" t="s">
        <v>7</v>
      </c>
      <c r="C2" s="5">
        <v>18.248357076505599</v>
      </c>
      <c r="D2" s="5">
        <v>12.650402467902399</v>
      </c>
      <c r="E2" s="4">
        <v>3</v>
      </c>
      <c r="F2" s="4">
        <v>11</v>
      </c>
      <c r="G2" s="4">
        <v>2</v>
      </c>
    </row>
    <row r="3" spans="1:7" x14ac:dyDescent="0.2">
      <c r="A3" s="3">
        <v>45172</v>
      </c>
      <c r="B3" s="4" t="s">
        <v>7</v>
      </c>
      <c r="C3" s="5">
        <v>9.93086784941441</v>
      </c>
      <c r="D3" s="5">
        <v>7.8465119664020397</v>
      </c>
      <c r="E3" s="4">
        <v>4</v>
      </c>
      <c r="F3" s="4">
        <v>5</v>
      </c>
      <c r="G3" s="4">
        <v>4</v>
      </c>
    </row>
    <row r="4" spans="1:7" x14ac:dyDescent="0.2">
      <c r="A4" s="3">
        <v>45051</v>
      </c>
      <c r="B4" s="4" t="s">
        <v>7</v>
      </c>
      <c r="C4" s="5">
        <v>16.323844269050401</v>
      </c>
      <c r="D4" s="5">
        <v>18.2934368519213</v>
      </c>
      <c r="E4" s="4">
        <v>4</v>
      </c>
      <c r="F4" s="4">
        <v>20</v>
      </c>
      <c r="G4" s="4">
        <v>5</v>
      </c>
    </row>
    <row r="5" spans="1:7" x14ac:dyDescent="0.2">
      <c r="A5" s="3">
        <v>45194</v>
      </c>
      <c r="B5" s="4" t="s">
        <v>8</v>
      </c>
      <c r="C5" s="5">
        <v>19.761514928204001</v>
      </c>
      <c r="D5" s="5">
        <v>16.354213761904301</v>
      </c>
      <c r="E5" s="4">
        <v>5</v>
      </c>
      <c r="F5" s="4">
        <v>11</v>
      </c>
      <c r="G5" s="4">
        <v>1</v>
      </c>
    </row>
    <row r="6" spans="1:7" x14ac:dyDescent="0.2">
      <c r="A6" s="3">
        <v>45057</v>
      </c>
      <c r="B6" s="4" t="s">
        <v>8</v>
      </c>
      <c r="C6" s="5">
        <v>10.882923312638299</v>
      </c>
      <c r="D6" s="5">
        <v>12.844000643802501</v>
      </c>
      <c r="E6" s="4">
        <v>5</v>
      </c>
      <c r="F6" s="4">
        <v>10</v>
      </c>
      <c r="G6" s="4">
        <v>5</v>
      </c>
    </row>
    <row r="7" spans="1:7" x14ac:dyDescent="0.2">
      <c r="A7" s="3">
        <v>45163</v>
      </c>
      <c r="B7" s="4" t="s">
        <v>7</v>
      </c>
      <c r="C7" s="5">
        <v>12.8829315215254</v>
      </c>
      <c r="D7" s="5">
        <v>12.0946133250876</v>
      </c>
      <c r="E7" s="4">
        <v>3</v>
      </c>
      <c r="F7" s="4">
        <v>8</v>
      </c>
      <c r="G7" s="4">
        <v>2</v>
      </c>
    </row>
    <row r="8" spans="1:7" x14ac:dyDescent="0.2">
      <c r="A8" s="3">
        <v>44944</v>
      </c>
      <c r="B8" s="4" t="s">
        <v>8</v>
      </c>
      <c r="C8" s="5">
        <v>14.7896064077537</v>
      </c>
      <c r="D8" s="5">
        <v>11.3896388586077</v>
      </c>
      <c r="E8" s="4">
        <v>2</v>
      </c>
      <c r="F8" s="4">
        <v>6</v>
      </c>
      <c r="G8" s="4">
        <v>5</v>
      </c>
    </row>
    <row r="9" spans="1:7" x14ac:dyDescent="0.2">
      <c r="A9" s="3">
        <v>44966</v>
      </c>
      <c r="B9" s="4" t="s">
        <v>7</v>
      </c>
      <c r="C9" s="5">
        <v>16.383717364576501</v>
      </c>
      <c r="D9" s="5">
        <v>9.9412842031688999</v>
      </c>
      <c r="E9" s="4">
        <v>5</v>
      </c>
      <c r="F9" s="4">
        <v>6</v>
      </c>
      <c r="G9" s="4">
        <v>1</v>
      </c>
    </row>
    <row r="10" spans="1:7" x14ac:dyDescent="0.2">
      <c r="A10" s="3">
        <v>44947</v>
      </c>
      <c r="B10" s="4" t="s">
        <v>8</v>
      </c>
      <c r="C10" s="5">
        <v>11.765262807032499</v>
      </c>
      <c r="D10" s="5">
        <v>17.77764785478</v>
      </c>
      <c r="E10" s="4">
        <v>4</v>
      </c>
      <c r="F10" s="4">
        <v>8</v>
      </c>
      <c r="G10" s="4">
        <v>2</v>
      </c>
    </row>
    <row r="11" spans="1:7" x14ac:dyDescent="0.2">
      <c r="A11" s="3">
        <v>45151</v>
      </c>
      <c r="B11" s="4" t="s">
        <v>7</v>
      </c>
      <c r="C11" s="5">
        <v>14.271280021793</v>
      </c>
      <c r="D11" s="5">
        <v>17.904702937757701</v>
      </c>
      <c r="E11" s="4">
        <v>3</v>
      </c>
      <c r="F11" s="4">
        <v>15</v>
      </c>
      <c r="G11" s="4">
        <v>5</v>
      </c>
    </row>
    <row r="12" spans="1:7" x14ac:dyDescent="0.2">
      <c r="A12" s="3">
        <v>45281</v>
      </c>
      <c r="B12" s="4" t="s">
        <v>7</v>
      </c>
      <c r="C12" s="5">
        <v>10.7682911535938</v>
      </c>
      <c r="D12" s="5">
        <v>11.1978552182038</v>
      </c>
      <c r="E12" s="4">
        <v>5</v>
      </c>
      <c r="F12" s="4">
        <v>14</v>
      </c>
      <c r="G12" s="4">
        <v>4</v>
      </c>
    </row>
    <row r="13" spans="1:7" x14ac:dyDescent="0.2">
      <c r="A13" s="3">
        <v>45208</v>
      </c>
      <c r="B13" s="4" t="s">
        <v>8</v>
      </c>
      <c r="C13" s="5">
        <v>15.767135123214899</v>
      </c>
      <c r="D13" s="5">
        <v>13.2244951043063</v>
      </c>
      <c r="E13" s="4">
        <v>4</v>
      </c>
      <c r="F13" s="4">
        <v>11</v>
      </c>
      <c r="G13" s="4">
        <v>2</v>
      </c>
    </row>
    <row r="14" spans="1:7" x14ac:dyDescent="0.2">
      <c r="A14" s="3">
        <v>44934</v>
      </c>
      <c r="B14" s="4" t="s">
        <v>8</v>
      </c>
      <c r="C14" s="5">
        <v>16.120981135783001</v>
      </c>
      <c r="D14" s="5">
        <v>11.3197825177366</v>
      </c>
      <c r="E14" s="4">
        <v>5</v>
      </c>
      <c r="F14" s="4">
        <v>12</v>
      </c>
      <c r="G14" s="4">
        <v>2</v>
      </c>
    </row>
    <row r="15" spans="1:7" x14ac:dyDescent="0.2">
      <c r="A15" s="3">
        <v>45026</v>
      </c>
      <c r="B15" s="4" t="s">
        <v>7</v>
      </c>
      <c r="C15" s="5">
        <v>12.043359877671101</v>
      </c>
      <c r="D15" s="5">
        <v>16.053874715719701</v>
      </c>
      <c r="E15" s="4">
        <v>4</v>
      </c>
      <c r="F15" s="4">
        <v>13</v>
      </c>
      <c r="G15" s="4">
        <v>4</v>
      </c>
    </row>
    <row r="16" spans="1:7" x14ac:dyDescent="0.2">
      <c r="A16" s="3">
        <v>45166</v>
      </c>
      <c r="B16" s="4" t="s">
        <v>7</v>
      </c>
      <c r="C16" s="5">
        <v>16.1375410837435</v>
      </c>
      <c r="D16" s="5">
        <v>14.691367565359</v>
      </c>
      <c r="E16" s="4">
        <v>5</v>
      </c>
      <c r="F16" s="4">
        <v>8</v>
      </c>
      <c r="G16" s="4">
        <v>3</v>
      </c>
    </row>
    <row r="17" spans="1:7" x14ac:dyDescent="0.2">
      <c r="A17" s="3">
        <v>45013</v>
      </c>
      <c r="B17" s="4" t="s">
        <v>8</v>
      </c>
      <c r="C17" s="5">
        <v>9.7188562353795103</v>
      </c>
      <c r="D17" s="5">
        <v>14.585083559174</v>
      </c>
      <c r="E17" s="4">
        <v>5</v>
      </c>
      <c r="F17" s="4">
        <v>18</v>
      </c>
      <c r="G17" s="4">
        <v>1</v>
      </c>
    </row>
    <row r="18" spans="1:7" x14ac:dyDescent="0.2">
      <c r="A18" s="3">
        <v>45224</v>
      </c>
      <c r="B18" s="4" t="s">
        <v>8</v>
      </c>
      <c r="C18" s="5">
        <v>11.4935844398328</v>
      </c>
      <c r="D18" s="5">
        <v>9.6594152362102808</v>
      </c>
      <c r="E18" s="4">
        <v>4</v>
      </c>
      <c r="F18" s="4">
        <v>1</v>
      </c>
      <c r="G18" s="4">
        <v>3</v>
      </c>
    </row>
    <row r="19" spans="1:7" x14ac:dyDescent="0.2">
      <c r="A19" s="3">
        <v>44940</v>
      </c>
      <c r="B19" s="4" t="s">
        <v>7</v>
      </c>
      <c r="C19" s="5">
        <v>13.157123666297601</v>
      </c>
      <c r="D19" s="5">
        <v>14.2428104906003</v>
      </c>
      <c r="E19" s="4">
        <v>5</v>
      </c>
      <c r="F19" s="4">
        <v>15</v>
      </c>
      <c r="G19" s="4">
        <v>5</v>
      </c>
    </row>
    <row r="20" spans="1:7" x14ac:dyDescent="0.2">
      <c r="A20" s="3">
        <v>45260</v>
      </c>
      <c r="B20" s="4" t="s">
        <v>8</v>
      </c>
      <c r="C20" s="5">
        <v>14.545987962239399</v>
      </c>
      <c r="D20" s="5">
        <v>9.2541405664508591</v>
      </c>
      <c r="E20" s="4">
        <v>5</v>
      </c>
      <c r="F20" s="4">
        <v>8</v>
      </c>
      <c r="G20" s="4">
        <v>4</v>
      </c>
    </row>
    <row r="21" spans="1:7" x14ac:dyDescent="0.2">
      <c r="A21" s="3">
        <v>44928</v>
      </c>
      <c r="B21" s="4" t="s">
        <v>7</v>
      </c>
      <c r="C21" s="5">
        <v>8.2938481493323604</v>
      </c>
      <c r="D21" s="5">
        <v>8.2039121859149606</v>
      </c>
      <c r="E21" s="4">
        <v>5</v>
      </c>
      <c r="F21" s="4">
        <v>11</v>
      </c>
      <c r="G21" s="4">
        <v>3</v>
      </c>
    </row>
    <row r="22" spans="1:7" x14ac:dyDescent="0.2">
      <c r="A22" s="3">
        <v>45219</v>
      </c>
      <c r="B22" s="4" t="s">
        <v>7</v>
      </c>
      <c r="C22" s="5">
        <v>6.7328243844607796</v>
      </c>
      <c r="D22" s="5">
        <v>14.9527756388153</v>
      </c>
      <c r="E22" s="4">
        <v>3</v>
      </c>
      <c r="F22" s="4">
        <v>12</v>
      </c>
      <c r="G22" s="4">
        <v>2</v>
      </c>
    </row>
    <row r="23" spans="1:7" x14ac:dyDescent="0.2">
      <c r="A23" s="3">
        <v>45251</v>
      </c>
      <c r="B23" s="4" t="s">
        <v>7</v>
      </c>
      <c r="C23" s="5">
        <v>13.8871118497567</v>
      </c>
      <c r="D23" s="5">
        <v>12.452029111196801</v>
      </c>
      <c r="E23" s="4">
        <v>5</v>
      </c>
      <c r="F23" s="4">
        <v>12</v>
      </c>
      <c r="G23" s="4">
        <v>5</v>
      </c>
    </row>
    <row r="24" spans="1:7" x14ac:dyDescent="0.2">
      <c r="A24" s="3">
        <v>44967</v>
      </c>
      <c r="B24" s="4" t="s">
        <v>7</v>
      </c>
      <c r="C24" s="5">
        <v>19.033764102344001</v>
      </c>
      <c r="D24" s="5">
        <v>11.223453100944999</v>
      </c>
      <c r="E24" s="4">
        <v>5</v>
      </c>
      <c r="F24" s="4">
        <v>4</v>
      </c>
      <c r="G24" s="4">
        <v>5</v>
      </c>
    </row>
    <row r="25" spans="1:7" x14ac:dyDescent="0.2">
      <c r="A25" s="3">
        <v>45244</v>
      </c>
      <c r="B25" s="4" t="s">
        <v>8</v>
      </c>
      <c r="C25" s="5">
        <v>11.2876259068933</v>
      </c>
      <c r="D25" s="5">
        <v>15.3594044792929</v>
      </c>
      <c r="E25" s="4">
        <v>2</v>
      </c>
      <c r="F25" s="4">
        <v>16</v>
      </c>
      <c r="G25" s="4">
        <v>3</v>
      </c>
    </row>
    <row r="26" spans="1:7" x14ac:dyDescent="0.2">
      <c r="A26" s="3">
        <v>45242</v>
      </c>
      <c r="B26" s="4" t="s">
        <v>8</v>
      </c>
      <c r="C26" s="5">
        <v>9.7278086377374091</v>
      </c>
      <c r="D26" s="5">
        <v>13.3886657418259</v>
      </c>
      <c r="E26" s="4">
        <v>3</v>
      </c>
      <c r="F26" s="4">
        <v>4</v>
      </c>
      <c r="G26" s="4">
        <v>3</v>
      </c>
    </row>
    <row r="27" spans="1:7" x14ac:dyDescent="0.2">
      <c r="A27" s="3">
        <v>45037</v>
      </c>
      <c r="B27" s="4" t="s">
        <v>8</v>
      </c>
      <c r="C27" s="5">
        <v>18.055461294854901</v>
      </c>
      <c r="D27" s="5">
        <v>12.9059751006873</v>
      </c>
      <c r="E27" s="4">
        <v>2</v>
      </c>
      <c r="F27" s="4">
        <v>5</v>
      </c>
      <c r="G27" s="4">
        <v>4</v>
      </c>
    </row>
    <row r="28" spans="1:7" x14ac:dyDescent="0.2">
      <c r="A28" s="3">
        <v>44940</v>
      </c>
      <c r="B28" s="4" t="s">
        <v>8</v>
      </c>
      <c r="C28" s="5">
        <v>16.424503211288901</v>
      </c>
      <c r="D28" s="5">
        <v>3.0225315056937099</v>
      </c>
      <c r="E28" s="4">
        <v>4</v>
      </c>
      <c r="F28" s="4">
        <v>5</v>
      </c>
      <c r="G28" s="4">
        <v>1</v>
      </c>
    </row>
    <row r="29" spans="1:7" x14ac:dyDescent="0.2">
      <c r="A29" s="3">
        <v>45157</v>
      </c>
      <c r="B29" s="4" t="s">
        <v>8</v>
      </c>
      <c r="C29" s="5">
        <v>18.187849009172801</v>
      </c>
      <c r="D29" s="5">
        <v>11.704677916640099</v>
      </c>
      <c r="E29" s="4">
        <v>5</v>
      </c>
      <c r="F29" s="4">
        <v>8</v>
      </c>
      <c r="G29" s="4">
        <v>3</v>
      </c>
    </row>
    <row r="30" spans="1:7" x14ac:dyDescent="0.2">
      <c r="A30" s="3">
        <v>45010</v>
      </c>
      <c r="B30" s="4" t="s">
        <v>8</v>
      </c>
      <c r="C30" s="5">
        <v>12.6996806550406</v>
      </c>
      <c r="D30" s="5">
        <v>16.0549673356767</v>
      </c>
      <c r="E30" s="4">
        <v>5</v>
      </c>
      <c r="F30" s="4">
        <v>10</v>
      </c>
      <c r="G30" s="4">
        <v>3</v>
      </c>
    </row>
    <row r="31" spans="1:7" x14ac:dyDescent="0.2">
      <c r="A31" s="3">
        <v>45056</v>
      </c>
      <c r="B31" s="4" t="s">
        <v>8</v>
      </c>
      <c r="C31" s="5">
        <v>19.854153125103402</v>
      </c>
      <c r="D31" s="5">
        <v>15.626719987045901</v>
      </c>
      <c r="E31" s="4">
        <v>4</v>
      </c>
      <c r="F31" s="4">
        <v>17</v>
      </c>
      <c r="G31" s="4">
        <v>2</v>
      </c>
    </row>
    <row r="32" spans="1:7" x14ac:dyDescent="0.2">
      <c r="A32" s="3">
        <v>45157</v>
      </c>
      <c r="B32" s="4" t="s">
        <v>7</v>
      </c>
      <c r="C32" s="5">
        <v>12.6991466938853</v>
      </c>
      <c r="D32" s="5">
        <v>15.181406050602</v>
      </c>
      <c r="E32" s="4">
        <v>5</v>
      </c>
      <c r="F32" s="4">
        <v>9</v>
      </c>
      <c r="G32" s="4">
        <v>5</v>
      </c>
    </row>
    <row r="33" spans="1:7" x14ac:dyDescent="0.2">
      <c r="A33" s="3">
        <v>45252</v>
      </c>
      <c r="B33" s="4" t="s">
        <v>8</v>
      </c>
      <c r="C33" s="5">
        <v>13.9261390922545</v>
      </c>
      <c r="D33" s="5">
        <v>10.242997120236099</v>
      </c>
      <c r="E33" s="4">
        <v>3</v>
      </c>
      <c r="F33" s="4">
        <v>19</v>
      </c>
      <c r="G33" s="4">
        <v>1</v>
      </c>
    </row>
    <row r="34" spans="1:7" x14ac:dyDescent="0.2">
      <c r="A34" s="3">
        <v>45071</v>
      </c>
      <c r="B34" s="4" t="s">
        <v>8</v>
      </c>
      <c r="C34" s="5">
        <v>17.993251387630998</v>
      </c>
      <c r="D34" s="5">
        <v>11.5129245467286</v>
      </c>
      <c r="E34" s="4">
        <v>2</v>
      </c>
      <c r="F34" s="4">
        <v>14</v>
      </c>
      <c r="G34" s="4">
        <v>2</v>
      </c>
    </row>
    <row r="35" spans="1:7" x14ac:dyDescent="0.2">
      <c r="A35" s="3">
        <v>45271</v>
      </c>
      <c r="B35" s="4" t="s">
        <v>7</v>
      </c>
      <c r="C35" s="5">
        <v>20.4711445355221</v>
      </c>
      <c r="D35" s="5">
        <v>16.758650960676</v>
      </c>
      <c r="E35" s="4">
        <v>4</v>
      </c>
      <c r="F35" s="4">
        <v>8</v>
      </c>
      <c r="G35" s="4">
        <v>4</v>
      </c>
    </row>
    <row r="36" spans="1:7" x14ac:dyDescent="0.2">
      <c r="A36" s="3">
        <v>44954</v>
      </c>
      <c r="B36" s="4" t="s">
        <v>8</v>
      </c>
      <c r="C36" s="5">
        <v>10.4112724560516</v>
      </c>
      <c r="D36" s="5">
        <v>13.651706780679801</v>
      </c>
      <c r="E36" s="4">
        <v>4</v>
      </c>
      <c r="F36" s="4">
        <v>9</v>
      </c>
      <c r="G36" s="4">
        <v>4</v>
      </c>
    </row>
    <row r="37" spans="1:7" x14ac:dyDescent="0.2">
      <c r="A37" s="3">
        <v>44992</v>
      </c>
      <c r="B37" s="4" t="s">
        <v>8</v>
      </c>
      <c r="C37" s="5">
        <v>17.389578175014499</v>
      </c>
      <c r="D37" s="5">
        <v>15.3157521472369</v>
      </c>
      <c r="E37" s="4">
        <v>4</v>
      </c>
      <c r="F37" s="4">
        <v>11</v>
      </c>
      <c r="G37" s="4">
        <v>3</v>
      </c>
    </row>
    <row r="38" spans="1:7" x14ac:dyDescent="0.2">
      <c r="A38" s="3">
        <v>45089</v>
      </c>
      <c r="B38" s="4" t="s">
        <v>7</v>
      </c>
      <c r="C38" s="5">
        <v>18.1044317975024</v>
      </c>
      <c r="D38" s="5">
        <v>16.972522488526302</v>
      </c>
      <c r="E38" s="4">
        <v>2</v>
      </c>
      <c r="F38" s="4">
        <v>1</v>
      </c>
      <c r="G38" s="4">
        <v>3</v>
      </c>
    </row>
    <row r="39" spans="1:7" x14ac:dyDescent="0.2">
      <c r="A39" s="3">
        <v>45155</v>
      </c>
      <c r="B39" s="4" t="s">
        <v>8</v>
      </c>
      <c r="C39" s="5">
        <v>14.0201649380601</v>
      </c>
      <c r="D39" s="5">
        <v>14.588141289030199</v>
      </c>
      <c r="E39" s="4">
        <v>4</v>
      </c>
      <c r="F39" s="4">
        <v>14</v>
      </c>
      <c r="G39" s="4">
        <v>4</v>
      </c>
    </row>
    <row r="40" spans="1:7" x14ac:dyDescent="0.2">
      <c r="A40" s="3">
        <v>45187</v>
      </c>
      <c r="B40" s="4" t="s">
        <v>8</v>
      </c>
      <c r="C40" s="5">
        <v>12.335906975550801</v>
      </c>
      <c r="D40" s="5">
        <v>12.121676275302301</v>
      </c>
      <c r="E40" s="4">
        <v>3</v>
      </c>
      <c r="F40" s="4">
        <v>5</v>
      </c>
      <c r="G40" s="4">
        <v>3</v>
      </c>
    </row>
    <row r="41" spans="1:7" x14ac:dyDescent="0.2">
      <c r="A41" s="3">
        <v>45090</v>
      </c>
      <c r="B41" s="4" t="s">
        <v>8</v>
      </c>
      <c r="C41" s="5">
        <v>21.0984306179346</v>
      </c>
      <c r="D41" s="5">
        <v>16.648634145275199</v>
      </c>
      <c r="E41" s="4">
        <v>5</v>
      </c>
      <c r="F41" s="4">
        <v>14</v>
      </c>
      <c r="G41" s="4">
        <v>1</v>
      </c>
    </row>
    <row r="42" spans="1:7" x14ac:dyDescent="0.2">
      <c r="A42" s="3">
        <v>45227</v>
      </c>
      <c r="B42" s="4" t="s">
        <v>7</v>
      </c>
      <c r="C42" s="5">
        <v>14.3692332899977</v>
      </c>
      <c r="D42" s="5">
        <v>13.424887394724999</v>
      </c>
      <c r="E42" s="4">
        <v>4</v>
      </c>
      <c r="F42" s="4">
        <v>4</v>
      </c>
      <c r="G42" s="4">
        <v>3</v>
      </c>
    </row>
    <row r="43" spans="1:7" x14ac:dyDescent="0.2">
      <c r="A43" s="3">
        <v>45229</v>
      </c>
      <c r="B43" s="4" t="s">
        <v>8</v>
      </c>
      <c r="C43" s="5">
        <v>12.085684140594999</v>
      </c>
      <c r="D43" s="5">
        <v>13.920728505627601</v>
      </c>
      <c r="E43" s="4">
        <v>3</v>
      </c>
      <c r="F43" s="4">
        <v>1</v>
      </c>
      <c r="G43" s="4">
        <v>5</v>
      </c>
    </row>
    <row r="44" spans="1:7" x14ac:dyDescent="0.2">
      <c r="A44" s="3">
        <v>45213</v>
      </c>
      <c r="B44" s="4" t="s">
        <v>8</v>
      </c>
      <c r="C44" s="5">
        <v>11.9421758588059</v>
      </c>
      <c r="D44" s="5">
        <v>15.874092591918499</v>
      </c>
      <c r="E44" s="4">
        <v>3</v>
      </c>
      <c r="F44" s="4">
        <v>19</v>
      </c>
      <c r="G44" s="4">
        <v>3</v>
      </c>
    </row>
    <row r="45" spans="1:7" x14ac:dyDescent="0.2">
      <c r="A45" s="3">
        <v>44936</v>
      </c>
      <c r="B45" s="4" t="s">
        <v>7</v>
      </c>
      <c r="C45" s="5">
        <v>21.849448152205401</v>
      </c>
      <c r="D45" s="5">
        <v>19.066837975443299</v>
      </c>
      <c r="E45" s="4">
        <v>3</v>
      </c>
      <c r="F45" s="4">
        <v>8</v>
      </c>
      <c r="G45" s="4">
        <v>2</v>
      </c>
    </row>
    <row r="46" spans="1:7" x14ac:dyDescent="0.2">
      <c r="A46" s="3">
        <v>45121</v>
      </c>
      <c r="B46" s="4" t="s">
        <v>8</v>
      </c>
      <c r="C46" s="5">
        <v>18.260739004816301</v>
      </c>
      <c r="D46" s="5">
        <v>12.4638930373874</v>
      </c>
      <c r="E46" s="4">
        <v>4</v>
      </c>
      <c r="F46" s="4">
        <v>15</v>
      </c>
      <c r="G46" s="4">
        <v>1</v>
      </c>
    </row>
    <row r="47" spans="1:7" x14ac:dyDescent="0.2">
      <c r="A47" s="3">
        <v>45044</v>
      </c>
      <c r="B47" s="4" t="s">
        <v>7</v>
      </c>
      <c r="C47" s="5">
        <v>20.640077895802602</v>
      </c>
      <c r="D47" s="5">
        <v>17.070176052707801</v>
      </c>
      <c r="E47" s="4">
        <v>5</v>
      </c>
      <c r="F47" s="4">
        <v>15</v>
      </c>
      <c r="G47" s="4">
        <v>2</v>
      </c>
    </row>
    <row r="48" spans="1:7" x14ac:dyDescent="0.2">
      <c r="A48" s="3">
        <v>45196</v>
      </c>
      <c r="B48" s="4" t="s">
        <v>7</v>
      </c>
      <c r="C48" s="5">
        <v>12.7696806145201</v>
      </c>
      <c r="D48" s="5">
        <v>12.1308103507745</v>
      </c>
      <c r="E48" s="4">
        <v>3</v>
      </c>
      <c r="F48" s="4">
        <v>9</v>
      </c>
      <c r="G48" s="4">
        <v>2</v>
      </c>
    </row>
    <row r="49" spans="1:7" x14ac:dyDescent="0.2">
      <c r="A49" s="3">
        <v>45006</v>
      </c>
      <c r="B49" s="4" t="s">
        <v>8</v>
      </c>
      <c r="C49" s="5">
        <v>12.5285611131095</v>
      </c>
      <c r="D49" s="5">
        <v>9.6581866813726496</v>
      </c>
      <c r="E49" s="4">
        <v>5</v>
      </c>
      <c r="F49" s="4">
        <v>9</v>
      </c>
      <c r="G49" s="4">
        <v>5</v>
      </c>
    </row>
    <row r="50" spans="1:7" x14ac:dyDescent="0.2">
      <c r="A50" s="3">
        <v>45019</v>
      </c>
      <c r="B50" s="4" t="s">
        <v>7</v>
      </c>
      <c r="C50" s="5">
        <v>14.1718091447842</v>
      </c>
      <c r="D50" s="5">
        <v>10.9164423551633</v>
      </c>
      <c r="E50" s="4">
        <v>3</v>
      </c>
      <c r="F50" s="4">
        <v>10</v>
      </c>
      <c r="G50" s="4">
        <v>1</v>
      </c>
    </row>
    <row r="51" spans="1:7" x14ac:dyDescent="0.2">
      <c r="A51" s="3">
        <v>45192</v>
      </c>
      <c r="B51" s="4" t="s">
        <v>7</v>
      </c>
      <c r="C51" s="5">
        <v>9.1184799223186292</v>
      </c>
      <c r="D51" s="5">
        <v>14.2959393285815</v>
      </c>
      <c r="E51" s="4">
        <v>3</v>
      </c>
      <c r="F51" s="4">
        <v>20</v>
      </c>
      <c r="G51" s="4">
        <v>1</v>
      </c>
    </row>
    <row r="52" spans="1:7" x14ac:dyDescent="0.2">
      <c r="A52" s="3">
        <v>45258</v>
      </c>
      <c r="B52" s="4" t="s">
        <v>8</v>
      </c>
      <c r="C52" s="5">
        <v>23.162041984697399</v>
      </c>
      <c r="D52" s="5">
        <v>16.001756018873799</v>
      </c>
      <c r="E52" s="4">
        <v>4</v>
      </c>
      <c r="F52" s="4">
        <v>9</v>
      </c>
      <c r="G52" s="4">
        <v>1</v>
      </c>
    </row>
    <row r="53" spans="1:7" x14ac:dyDescent="0.2">
      <c r="A53" s="3">
        <v>45276</v>
      </c>
      <c r="B53" s="4" t="s">
        <v>7</v>
      </c>
      <c r="C53" s="5">
        <v>14.807458859791801</v>
      </c>
      <c r="D53" s="5">
        <v>13.569629697446899</v>
      </c>
      <c r="E53" s="4">
        <v>3</v>
      </c>
      <c r="F53" s="4">
        <v>3</v>
      </c>
      <c r="G53" s="4">
        <v>1</v>
      </c>
    </row>
    <row r="54" spans="1:7" x14ac:dyDescent="0.2">
      <c r="A54" s="3">
        <v>45287</v>
      </c>
      <c r="B54" s="4" t="s">
        <v>7</v>
      </c>
      <c r="C54" s="5">
        <v>24.661538999847</v>
      </c>
      <c r="D54" s="5">
        <v>17.045707648641699</v>
      </c>
      <c r="E54" s="4">
        <v>3</v>
      </c>
      <c r="F54" s="4">
        <v>20</v>
      </c>
      <c r="G54" s="4">
        <v>1</v>
      </c>
    </row>
    <row r="55" spans="1:7" x14ac:dyDescent="0.2">
      <c r="A55" s="3">
        <v>45183</v>
      </c>
      <c r="B55" s="4" t="s">
        <v>8</v>
      </c>
      <c r="C55" s="5">
        <v>15.305838144420401</v>
      </c>
      <c r="D55" s="5">
        <v>15.0613694388085</v>
      </c>
      <c r="E55" s="4">
        <v>3</v>
      </c>
      <c r="F55" s="4">
        <v>11</v>
      </c>
      <c r="G55" s="4">
        <v>5</v>
      </c>
    </row>
    <row r="56" spans="1:7" x14ac:dyDescent="0.2">
      <c r="A56" s="3">
        <v>45059</v>
      </c>
      <c r="B56" s="4" t="s">
        <v>8</v>
      </c>
      <c r="C56" s="5">
        <v>12.515499761248</v>
      </c>
      <c r="D56" s="5">
        <v>12.8732014068294</v>
      </c>
      <c r="E56" s="4">
        <v>5</v>
      </c>
      <c r="F56" s="4">
        <v>6</v>
      </c>
      <c r="G56" s="4">
        <v>3</v>
      </c>
    </row>
    <row r="57" spans="1:7" x14ac:dyDescent="0.2">
      <c r="A57" s="3">
        <v>45202</v>
      </c>
      <c r="B57" s="4" t="s">
        <v>8</v>
      </c>
      <c r="C57" s="5">
        <v>16.465640059558101</v>
      </c>
      <c r="D57" s="5">
        <v>7.5215063682930898</v>
      </c>
      <c r="E57" s="4">
        <v>4</v>
      </c>
      <c r="F57" s="4">
        <v>2</v>
      </c>
      <c r="G57" s="4">
        <v>2</v>
      </c>
    </row>
    <row r="58" spans="1:7" x14ac:dyDescent="0.2">
      <c r="A58" s="3">
        <v>45190</v>
      </c>
      <c r="B58" s="4" t="s">
        <v>7</v>
      </c>
      <c r="C58" s="5">
        <v>6.58039123838868</v>
      </c>
      <c r="D58" s="5">
        <v>10.2866839941032</v>
      </c>
      <c r="E58" s="4">
        <v>3</v>
      </c>
      <c r="F58" s="4">
        <v>7</v>
      </c>
      <c r="G58" s="4">
        <v>1</v>
      </c>
    </row>
    <row r="59" spans="1:7" x14ac:dyDescent="0.2">
      <c r="A59" s="3">
        <v>45097</v>
      </c>
      <c r="B59" s="4" t="s">
        <v>8</v>
      </c>
      <c r="C59" s="5">
        <v>20.845393812074398</v>
      </c>
      <c r="D59" s="5">
        <v>16.300220744623299</v>
      </c>
      <c r="E59" s="4">
        <v>4</v>
      </c>
      <c r="F59" s="4">
        <v>18</v>
      </c>
      <c r="G59" s="4">
        <v>3</v>
      </c>
    </row>
    <row r="60" spans="1:7" x14ac:dyDescent="0.2">
      <c r="A60" s="3">
        <v>44927</v>
      </c>
      <c r="B60" s="4" t="s">
        <v>7</v>
      </c>
      <c r="C60" s="5">
        <v>10.165631715701799</v>
      </c>
      <c r="D60" s="5">
        <v>11.7957061589511</v>
      </c>
      <c r="E60" s="4">
        <v>4</v>
      </c>
      <c r="F60" s="4">
        <v>2</v>
      </c>
      <c r="G60" s="4">
        <v>3</v>
      </c>
    </row>
    <row r="61" spans="1:7" x14ac:dyDescent="0.2">
      <c r="A61" s="3">
        <v>45239</v>
      </c>
      <c r="B61" s="4" t="s">
        <v>7</v>
      </c>
      <c r="C61" s="5">
        <v>17.487772563561201</v>
      </c>
      <c r="D61" s="5">
        <v>10.8858644453307</v>
      </c>
      <c r="E61" s="4">
        <v>4</v>
      </c>
      <c r="F61" s="4">
        <v>17</v>
      </c>
      <c r="G61" s="4">
        <v>2</v>
      </c>
    </row>
    <row r="62" spans="1:7" x14ac:dyDescent="0.2">
      <c r="A62" s="3">
        <v>44990</v>
      </c>
      <c r="B62" s="4" t="s">
        <v>7</v>
      </c>
      <c r="C62" s="5">
        <v>11.7604128810774</v>
      </c>
      <c r="D62" s="5">
        <v>17.913141956834998</v>
      </c>
      <c r="E62" s="4">
        <v>5</v>
      </c>
      <c r="F62" s="4">
        <v>11</v>
      </c>
      <c r="G62" s="4">
        <v>5</v>
      </c>
    </row>
    <row r="63" spans="1:7" x14ac:dyDescent="0.2">
      <c r="A63" s="3">
        <v>45210</v>
      </c>
      <c r="B63" s="4" t="s">
        <v>7</v>
      </c>
      <c r="C63" s="5">
        <v>12.907170511668101</v>
      </c>
      <c r="D63" s="5">
        <v>13.558760547451399</v>
      </c>
      <c r="E63" s="4">
        <v>5</v>
      </c>
      <c r="F63" s="4">
        <v>12</v>
      </c>
      <c r="G63" s="4">
        <v>4</v>
      </c>
    </row>
    <row r="64" spans="1:7" x14ac:dyDescent="0.2">
      <c r="A64" s="3">
        <v>45047</v>
      </c>
      <c r="B64" s="4" t="s">
        <v>7</v>
      </c>
      <c r="C64" s="5">
        <v>16.446832512996998</v>
      </c>
      <c r="D64" s="5">
        <v>16.776643511142499</v>
      </c>
      <c r="E64" s="4">
        <v>3</v>
      </c>
      <c r="F64" s="4">
        <v>19</v>
      </c>
      <c r="G64" s="4">
        <v>4</v>
      </c>
    </row>
    <row r="65" spans="1:7" x14ac:dyDescent="0.2">
      <c r="A65" s="3">
        <v>45033</v>
      </c>
      <c r="B65" s="4" t="s">
        <v>7</v>
      </c>
      <c r="C65" s="5">
        <v>8.4018966879596704</v>
      </c>
      <c r="D65" s="5">
        <v>10.6463365441834</v>
      </c>
      <c r="E65" s="4">
        <v>3</v>
      </c>
      <c r="F65" s="4">
        <v>7</v>
      </c>
      <c r="G65" s="4">
        <v>3</v>
      </c>
    </row>
    <row r="66" spans="1:7" x14ac:dyDescent="0.2">
      <c r="A66" s="3">
        <v>45101</v>
      </c>
      <c r="B66" s="4" t="s">
        <v>7</v>
      </c>
      <c r="C66" s="5">
        <v>13.4062629111971</v>
      </c>
      <c r="D66" s="5">
        <v>15.7664262522085</v>
      </c>
      <c r="E66" s="4">
        <v>4</v>
      </c>
      <c r="F66" s="4">
        <v>20</v>
      </c>
      <c r="G66" s="4">
        <v>2</v>
      </c>
    </row>
    <row r="67" spans="1:7" x14ac:dyDescent="0.2">
      <c r="A67" s="3">
        <v>45130</v>
      </c>
      <c r="B67" s="4" t="s">
        <v>8</v>
      </c>
      <c r="C67" s="5">
        <v>17.678120014285401</v>
      </c>
      <c r="D67" s="5">
        <v>14.465206406034399</v>
      </c>
      <c r="E67" s="4">
        <v>2</v>
      </c>
      <c r="F67" s="4">
        <v>6</v>
      </c>
      <c r="G67" s="4">
        <v>4</v>
      </c>
    </row>
    <row r="68" spans="1:7" x14ac:dyDescent="0.2">
      <c r="A68" s="3">
        <v>45091</v>
      </c>
      <c r="B68" s="4" t="s">
        <v>8</v>
      </c>
      <c r="C68" s="5">
        <v>14.963994939209799</v>
      </c>
      <c r="D68" s="5">
        <v>16.052371550296499</v>
      </c>
      <c r="E68" s="4">
        <v>2</v>
      </c>
      <c r="F68" s="4">
        <v>1</v>
      </c>
      <c r="G68" s="4">
        <v>3</v>
      </c>
    </row>
    <row r="69" spans="1:7" x14ac:dyDescent="0.2">
      <c r="A69" s="3">
        <v>45231</v>
      </c>
      <c r="B69" s="4" t="s">
        <v>7</v>
      </c>
      <c r="C69" s="5">
        <v>17.501766448946</v>
      </c>
      <c r="D69" s="5">
        <v>12.426519776874001</v>
      </c>
      <c r="E69" s="4">
        <v>5</v>
      </c>
      <c r="F69" s="4">
        <v>17</v>
      </c>
      <c r="G69" s="4">
        <v>5</v>
      </c>
    </row>
    <row r="70" spans="1:7" x14ac:dyDescent="0.2">
      <c r="A70" s="3">
        <v>45046</v>
      </c>
      <c r="B70" s="4" t="s">
        <v>7</v>
      </c>
      <c r="C70" s="5">
        <v>17.180818012523801</v>
      </c>
      <c r="D70" s="5">
        <v>14.067513771398801</v>
      </c>
      <c r="E70" s="4">
        <v>5</v>
      </c>
      <c r="F70" s="4">
        <v>11</v>
      </c>
      <c r="G70" s="4">
        <v>4</v>
      </c>
    </row>
    <row r="71" spans="1:7" x14ac:dyDescent="0.2">
      <c r="A71" s="3">
        <v>44970</v>
      </c>
      <c r="B71" s="4" t="s">
        <v>8</v>
      </c>
      <c r="C71" s="5">
        <v>21.677440122697401</v>
      </c>
      <c r="D71" s="5">
        <v>17.718208102492198</v>
      </c>
      <c r="E71" s="4">
        <v>4</v>
      </c>
      <c r="F71" s="4">
        <v>18</v>
      </c>
      <c r="G71" s="4">
        <v>3</v>
      </c>
    </row>
    <row r="72" spans="1:7" x14ac:dyDescent="0.2">
      <c r="A72" s="3">
        <v>45238</v>
      </c>
      <c r="B72" s="4" t="s">
        <v>7</v>
      </c>
      <c r="C72" s="5">
        <v>13.180697802754199</v>
      </c>
      <c r="D72" s="5">
        <v>13.041532826086099</v>
      </c>
      <c r="E72" s="4">
        <v>5</v>
      </c>
      <c r="F72" s="4">
        <v>17</v>
      </c>
      <c r="G72" s="4">
        <v>3</v>
      </c>
    </row>
    <row r="73" spans="1:7" x14ac:dyDescent="0.2">
      <c r="A73" s="3">
        <v>45082</v>
      </c>
      <c r="B73" s="4" t="s">
        <v>8</v>
      </c>
      <c r="C73" s="5">
        <v>12.769018283233001</v>
      </c>
      <c r="D73" s="5">
        <v>8.6769906264173908</v>
      </c>
      <c r="E73" s="4">
        <v>4</v>
      </c>
      <c r="F73" s="4">
        <v>7</v>
      </c>
      <c r="G73" s="4">
        <v>1</v>
      </c>
    </row>
    <row r="74" spans="1:7" x14ac:dyDescent="0.2">
      <c r="A74" s="3">
        <v>45133</v>
      </c>
      <c r="B74" s="4" t="s">
        <v>8</v>
      </c>
      <c r="C74" s="5">
        <v>18.982086980445001</v>
      </c>
      <c r="D74" s="5">
        <v>14.131973059039201</v>
      </c>
      <c r="E74" s="4">
        <v>5</v>
      </c>
      <c r="F74" s="4">
        <v>17</v>
      </c>
      <c r="G74" s="4">
        <v>5</v>
      </c>
    </row>
    <row r="75" spans="1:7" x14ac:dyDescent="0.2">
      <c r="A75" s="3">
        <v>45034</v>
      </c>
      <c r="B75" s="4" t="s">
        <v>8</v>
      </c>
      <c r="C75" s="5">
        <v>15.782321827906999</v>
      </c>
      <c r="D75" s="5">
        <v>15.6934101606307</v>
      </c>
      <c r="E75" s="4">
        <v>5</v>
      </c>
      <c r="F75" s="4">
        <v>20</v>
      </c>
      <c r="G75" s="4">
        <v>1</v>
      </c>
    </row>
    <row r="76" spans="1:7" x14ac:dyDescent="0.2">
      <c r="A76" s="3">
        <v>45177</v>
      </c>
      <c r="B76" s="4" t="s">
        <v>7</v>
      </c>
      <c r="C76" s="5">
        <v>19.690127447955099</v>
      </c>
      <c r="D76" s="5">
        <v>11.326580146999101</v>
      </c>
      <c r="E76" s="4">
        <v>4</v>
      </c>
      <c r="F76" s="4">
        <v>9</v>
      </c>
      <c r="G76" s="4">
        <v>2</v>
      </c>
    </row>
    <row r="77" spans="1:7" x14ac:dyDescent="0.2">
      <c r="A77" s="3">
        <v>45260</v>
      </c>
      <c r="B77" s="4" t="s">
        <v>7</v>
      </c>
      <c r="C77" s="5">
        <v>13.4109512521876</v>
      </c>
      <c r="D77" s="5">
        <v>16.338212174968501</v>
      </c>
      <c r="E77" s="4">
        <v>3</v>
      </c>
      <c r="F77" s="4">
        <v>17</v>
      </c>
      <c r="G77" s="4">
        <v>1</v>
      </c>
    </row>
    <row r="78" spans="1:7" x14ac:dyDescent="0.2">
      <c r="A78" s="3">
        <v>45056</v>
      </c>
      <c r="B78" s="4" t="s">
        <v>8</v>
      </c>
      <c r="C78" s="5">
        <v>17.0435235341191</v>
      </c>
      <c r="D78" s="5">
        <v>15.6032602048993</v>
      </c>
      <c r="E78" s="4">
        <v>2</v>
      </c>
      <c r="F78" s="4">
        <v>20</v>
      </c>
      <c r="G78" s="4">
        <v>1</v>
      </c>
    </row>
    <row r="79" spans="1:7" x14ac:dyDescent="0.2">
      <c r="A79" s="3">
        <v>45219</v>
      </c>
      <c r="B79" s="4" t="s">
        <v>8</v>
      </c>
      <c r="C79" s="5">
        <v>15.8504963247671</v>
      </c>
      <c r="D79" s="5">
        <v>14.1373818515974</v>
      </c>
      <c r="E79" s="4">
        <v>4</v>
      </c>
      <c r="F79" s="4">
        <v>8</v>
      </c>
      <c r="G79" s="4">
        <v>4</v>
      </c>
    </row>
    <row r="80" spans="1:7" x14ac:dyDescent="0.2">
      <c r="A80" s="3">
        <v>44946</v>
      </c>
      <c r="B80" s="4" t="s">
        <v>8</v>
      </c>
      <c r="C80" s="5">
        <v>9.0458803882677508</v>
      </c>
      <c r="D80" s="5">
        <v>16.572972232888802</v>
      </c>
      <c r="E80" s="4">
        <v>3</v>
      </c>
      <c r="F80" s="4">
        <v>17</v>
      </c>
      <c r="G80" s="4">
        <v>3</v>
      </c>
    </row>
    <row r="81" spans="1:7" x14ac:dyDescent="0.2">
      <c r="A81" s="3">
        <v>45208</v>
      </c>
      <c r="B81" s="4" t="s">
        <v>8</v>
      </c>
      <c r="C81" s="5">
        <v>14.0062155426996</v>
      </c>
      <c r="D81" s="5">
        <v>13.369188969721799</v>
      </c>
      <c r="E81" s="4">
        <v>3</v>
      </c>
      <c r="F81" s="4">
        <v>7</v>
      </c>
      <c r="G81" s="4">
        <v>5</v>
      </c>
    </row>
    <row r="82" spans="1:7" x14ac:dyDescent="0.2">
      <c r="A82" s="3">
        <v>45211</v>
      </c>
      <c r="B82" s="4" t="s">
        <v>8</v>
      </c>
      <c r="C82" s="5">
        <v>16.890164056081201</v>
      </c>
      <c r="D82" s="5">
        <v>11.682861668466</v>
      </c>
      <c r="E82" s="4">
        <v>3</v>
      </c>
      <c r="F82" s="4">
        <v>1</v>
      </c>
      <c r="G82" s="4">
        <v>1</v>
      </c>
    </row>
    <row r="83" spans="1:7" x14ac:dyDescent="0.2">
      <c r="A83" s="3">
        <v>44927</v>
      </c>
      <c r="B83" s="4" t="s">
        <v>7</v>
      </c>
      <c r="C83" s="5">
        <v>18.178556285755899</v>
      </c>
      <c r="D83" s="5">
        <v>10.243021090015899</v>
      </c>
      <c r="E83" s="4">
        <v>3</v>
      </c>
      <c r="F83" s="4">
        <v>13</v>
      </c>
      <c r="G83" s="4">
        <v>5</v>
      </c>
    </row>
    <row r="84" spans="1:7" x14ac:dyDescent="0.2">
      <c r="A84" s="3">
        <v>45045</v>
      </c>
      <c r="B84" s="4" t="s">
        <v>8</v>
      </c>
      <c r="C84" s="5">
        <v>13.7389470223708</v>
      </c>
      <c r="D84" s="5">
        <v>14.2057965941523</v>
      </c>
      <c r="E84" s="4">
        <v>5</v>
      </c>
      <c r="F84" s="4">
        <v>19</v>
      </c>
      <c r="G84" s="4">
        <v>1</v>
      </c>
    </row>
    <row r="85" spans="1:7" x14ac:dyDescent="0.2">
      <c r="A85" s="3">
        <v>44961</v>
      </c>
      <c r="B85" s="4" t="s">
        <v>7</v>
      </c>
      <c r="C85" s="5">
        <v>16.7408648908632</v>
      </c>
      <c r="D85" s="5">
        <v>17.842597045912498</v>
      </c>
      <c r="E85" s="4">
        <v>5</v>
      </c>
      <c r="F85" s="4">
        <v>19</v>
      </c>
      <c r="G85" s="4">
        <v>2</v>
      </c>
    </row>
    <row r="86" spans="1:7" x14ac:dyDescent="0.2">
      <c r="A86" s="3">
        <v>45124</v>
      </c>
      <c r="B86" s="4" t="s">
        <v>8</v>
      </c>
      <c r="C86" s="5">
        <v>8.5957531985534104</v>
      </c>
      <c r="D86" s="5">
        <v>7.6180705984541</v>
      </c>
      <c r="E86" s="4">
        <v>4</v>
      </c>
      <c r="F86" s="4">
        <v>17</v>
      </c>
      <c r="G86" s="4">
        <v>1</v>
      </c>
    </row>
    <row r="87" spans="1:7" x14ac:dyDescent="0.2">
      <c r="A87" s="3">
        <v>45171</v>
      </c>
      <c r="B87" s="4" t="s">
        <v>7</v>
      </c>
      <c r="C87" s="5">
        <v>11.7491214782077</v>
      </c>
      <c r="D87" s="5">
        <v>10.8881902115409</v>
      </c>
      <c r="E87" s="4">
        <v>5</v>
      </c>
      <c r="F87" s="4">
        <v>13</v>
      </c>
      <c r="G87" s="4">
        <v>4</v>
      </c>
    </row>
    <row r="88" spans="1:7" x14ac:dyDescent="0.2">
      <c r="A88" s="3">
        <v>44985</v>
      </c>
      <c r="B88" s="4" t="s">
        <v>7</v>
      </c>
      <c r="C88" s="5">
        <v>21.457701058851001</v>
      </c>
      <c r="D88" s="5">
        <v>12.872725535428099</v>
      </c>
      <c r="E88" s="4">
        <v>4</v>
      </c>
      <c r="F88" s="4">
        <v>16</v>
      </c>
      <c r="G88" s="4">
        <v>3</v>
      </c>
    </row>
    <row r="89" spans="1:7" x14ac:dyDescent="0.2">
      <c r="A89" s="3">
        <v>45251</v>
      </c>
      <c r="B89" s="4" t="s">
        <v>7</v>
      </c>
      <c r="C89" s="5">
        <v>19.1643755548298</v>
      </c>
      <c r="D89" s="5">
        <v>13.198565593751299</v>
      </c>
      <c r="E89" s="4">
        <v>3</v>
      </c>
      <c r="F89" s="4">
        <v>8</v>
      </c>
      <c r="G89" s="4">
        <v>2</v>
      </c>
    </row>
    <row r="90" spans="1:7" x14ac:dyDescent="0.2">
      <c r="A90" s="3">
        <v>45087</v>
      </c>
      <c r="B90" s="4" t="s">
        <v>7</v>
      </c>
      <c r="C90" s="5">
        <v>15.735119898116499</v>
      </c>
      <c r="D90" s="5">
        <v>17.202589981353199</v>
      </c>
      <c r="E90" s="4">
        <v>5</v>
      </c>
      <c r="F90" s="4">
        <v>19</v>
      </c>
      <c r="G90" s="4">
        <v>1</v>
      </c>
    </row>
    <row r="91" spans="1:7" x14ac:dyDescent="0.2">
      <c r="A91" s="3">
        <v>45105</v>
      </c>
      <c r="B91" s="4" t="s">
        <v>7</v>
      </c>
      <c r="C91" s="5">
        <v>11.256633716556699</v>
      </c>
      <c r="D91" s="5">
        <v>16.985420078006101</v>
      </c>
      <c r="E91" s="4">
        <v>5</v>
      </c>
      <c r="F91" s="4">
        <v>18</v>
      </c>
      <c r="G91" s="4">
        <v>5</v>
      </c>
    </row>
    <row r="92" spans="1:7" x14ac:dyDescent="0.2">
      <c r="A92" s="3">
        <v>45132</v>
      </c>
      <c r="B92" s="4" t="s">
        <v>7</v>
      </c>
      <c r="C92" s="5">
        <v>12.048538774674</v>
      </c>
      <c r="D92" s="5">
        <v>13.699052124645499</v>
      </c>
      <c r="E92" s="4">
        <v>3</v>
      </c>
      <c r="F92" s="4">
        <v>1</v>
      </c>
      <c r="G92" s="4">
        <v>2</v>
      </c>
    </row>
    <row r="93" spans="1:7" x14ac:dyDescent="0.2">
      <c r="A93" s="3">
        <v>44938</v>
      </c>
      <c r="B93" s="4" t="s">
        <v>8</v>
      </c>
      <c r="C93" s="5">
        <v>17.484322495266401</v>
      </c>
      <c r="D93" s="5">
        <v>18.812320458953501</v>
      </c>
      <c r="E93" s="4">
        <v>4</v>
      </c>
      <c r="F93" s="4">
        <v>14</v>
      </c>
      <c r="G93" s="4">
        <v>2</v>
      </c>
    </row>
    <row r="94" spans="1:7" x14ac:dyDescent="0.2">
      <c r="A94" s="3">
        <v>45202</v>
      </c>
      <c r="B94" s="4" t="s">
        <v>7</v>
      </c>
      <c r="C94" s="5">
        <v>20.648973453061298</v>
      </c>
      <c r="D94" s="5">
        <v>16.398125869214301</v>
      </c>
      <c r="E94" s="4">
        <v>3</v>
      </c>
      <c r="F94" s="4">
        <v>19</v>
      </c>
      <c r="G94" s="4">
        <v>1</v>
      </c>
    </row>
    <row r="95" spans="1:7" x14ac:dyDescent="0.2">
      <c r="A95" s="3">
        <v>45107</v>
      </c>
      <c r="B95" s="4" t="s">
        <v>8</v>
      </c>
      <c r="C95" s="5">
        <v>11.836168926701101</v>
      </c>
      <c r="D95" s="5">
        <v>10.229704487236599</v>
      </c>
      <c r="E95" s="4">
        <v>3</v>
      </c>
      <c r="F95" s="4">
        <v>15</v>
      </c>
      <c r="G95" s="4">
        <v>2</v>
      </c>
    </row>
    <row r="96" spans="1:7" x14ac:dyDescent="0.2">
      <c r="A96" s="3">
        <v>45168</v>
      </c>
      <c r="B96" s="4" t="s">
        <v>7</v>
      </c>
      <c r="C96" s="5">
        <v>19.803945923433901</v>
      </c>
      <c r="D96" s="5">
        <v>17.379711103318801</v>
      </c>
      <c r="E96" s="4">
        <v>5</v>
      </c>
      <c r="F96" s="4">
        <v>18</v>
      </c>
      <c r="G96" s="4">
        <v>5</v>
      </c>
    </row>
    <row r="97" spans="1:7" x14ac:dyDescent="0.2">
      <c r="A97" s="3">
        <v>45142</v>
      </c>
      <c r="B97" s="4" t="s">
        <v>7</v>
      </c>
      <c r="C97" s="5">
        <v>10.2682425259339</v>
      </c>
      <c r="D97" s="5">
        <v>11.7604057863382</v>
      </c>
      <c r="E97" s="4">
        <v>5</v>
      </c>
      <c r="F97" s="4">
        <v>2</v>
      </c>
      <c r="G97" s="4">
        <v>2</v>
      </c>
    </row>
    <row r="98" spans="1:7" x14ac:dyDescent="0.2">
      <c r="A98" s="3">
        <v>45177</v>
      </c>
      <c r="B98" s="4" t="s">
        <v>8</v>
      </c>
      <c r="C98" s="5">
        <v>22.148060138532301</v>
      </c>
      <c r="D98" s="5">
        <v>14.2057782396693</v>
      </c>
      <c r="E98" s="4">
        <v>3</v>
      </c>
      <c r="F98" s="4">
        <v>17</v>
      </c>
      <c r="G98" s="4">
        <v>5</v>
      </c>
    </row>
    <row r="99" spans="1:7" x14ac:dyDescent="0.2">
      <c r="A99" s="3">
        <v>45225</v>
      </c>
      <c r="B99" s="4" t="s">
        <v>7</v>
      </c>
      <c r="C99" s="5">
        <v>16.130527636089901</v>
      </c>
      <c r="D99" s="5">
        <v>18.2171053089621</v>
      </c>
      <c r="E99" s="4">
        <v>5</v>
      </c>
      <c r="F99" s="4">
        <v>18</v>
      </c>
      <c r="G99" s="4">
        <v>1</v>
      </c>
    </row>
    <row r="100" spans="1:7" x14ac:dyDescent="0.2">
      <c r="A100" s="3">
        <v>45052</v>
      </c>
      <c r="B100" s="4" t="s">
        <v>8</v>
      </c>
      <c r="C100" s="5">
        <v>10.002556728321199</v>
      </c>
      <c r="D100" s="5">
        <v>13.231788569531499</v>
      </c>
      <c r="E100" s="4">
        <v>3</v>
      </c>
      <c r="F100" s="4">
        <v>6</v>
      </c>
      <c r="G100" s="4">
        <v>3</v>
      </c>
    </row>
    <row r="101" spans="1:7" x14ac:dyDescent="0.2">
      <c r="A101" s="3">
        <v>45143</v>
      </c>
      <c r="B101" s="4" t="s">
        <v>8</v>
      </c>
      <c r="C101" s="5">
        <v>19.8827064333124</v>
      </c>
      <c r="D101" s="5">
        <v>14.915622267246601</v>
      </c>
      <c r="E101" s="4">
        <v>4</v>
      </c>
      <c r="F101" s="4">
        <v>19</v>
      </c>
      <c r="G101" s="4">
        <v>2</v>
      </c>
    </row>
    <row r="102" spans="1:7" x14ac:dyDescent="0.2">
      <c r="A102" s="3">
        <v>45232</v>
      </c>
      <c r="B102" s="4" t="s">
        <v>8</v>
      </c>
      <c r="C102" s="5">
        <v>16.2923146289748</v>
      </c>
      <c r="D102" s="5">
        <v>12.171144457244001</v>
      </c>
      <c r="E102" s="4">
        <v>3</v>
      </c>
      <c r="F102" s="4">
        <v>4</v>
      </c>
      <c r="G102" s="4">
        <v>3</v>
      </c>
    </row>
    <row r="103" spans="1:7" x14ac:dyDescent="0.2">
      <c r="A103" s="3">
        <v>45211</v>
      </c>
      <c r="B103" s="4" t="s">
        <v>8</v>
      </c>
      <c r="C103" s="5">
        <v>12.789677338617301</v>
      </c>
      <c r="D103" s="5">
        <v>11.7637889455474</v>
      </c>
      <c r="E103" s="4">
        <v>3</v>
      </c>
      <c r="F103" s="4">
        <v>1</v>
      </c>
      <c r="G103" s="4">
        <v>5</v>
      </c>
    </row>
    <row r="104" spans="1:7" x14ac:dyDescent="0.2">
      <c r="A104" s="3">
        <v>45111</v>
      </c>
      <c r="B104" s="4" t="s">
        <v>7</v>
      </c>
      <c r="C104" s="5">
        <v>14.8286427417366</v>
      </c>
      <c r="D104" s="5">
        <v>11.906518232826899</v>
      </c>
      <c r="E104" s="4">
        <v>4</v>
      </c>
      <c r="F104" s="4">
        <v>8</v>
      </c>
      <c r="G104" s="4">
        <v>2</v>
      </c>
    </row>
    <row r="105" spans="1:7" x14ac:dyDescent="0.2">
      <c r="A105" s="3">
        <v>44965</v>
      </c>
      <c r="B105" s="4" t="s">
        <v>7</v>
      </c>
      <c r="C105" s="5">
        <v>18.598861365389201</v>
      </c>
      <c r="D105" s="5">
        <v>14.6205719588575</v>
      </c>
      <c r="E105" s="4">
        <v>3</v>
      </c>
      <c r="F105" s="4">
        <v>7</v>
      </c>
      <c r="G105" s="4">
        <v>4</v>
      </c>
    </row>
    <row r="106" spans="1:7" x14ac:dyDescent="0.2">
      <c r="A106" s="3">
        <v>45149</v>
      </c>
      <c r="B106" s="4" t="s">
        <v>8</v>
      </c>
      <c r="C106" s="5">
        <v>16.919357144167002</v>
      </c>
      <c r="D106" s="5">
        <v>14.520807089821201</v>
      </c>
      <c r="E106" s="4">
        <v>4</v>
      </c>
      <c r="F106" s="4">
        <v>3</v>
      </c>
      <c r="G106" s="4">
        <v>3</v>
      </c>
    </row>
    <row r="107" spans="1:7" x14ac:dyDescent="0.2">
      <c r="A107" s="3">
        <v>45110</v>
      </c>
      <c r="B107" s="4" t="s">
        <v>7</v>
      </c>
      <c r="C107" s="5">
        <v>21.2020254284073</v>
      </c>
      <c r="D107" s="5">
        <v>13.7015726606081</v>
      </c>
      <c r="E107" s="4">
        <v>4</v>
      </c>
      <c r="F107" s="4">
        <v>10</v>
      </c>
      <c r="G107" s="4">
        <v>2</v>
      </c>
    </row>
    <row r="108" spans="1:7" x14ac:dyDescent="0.2">
      <c r="A108" s="3">
        <v>45104</v>
      </c>
      <c r="B108" s="4" t="s">
        <v>7</v>
      </c>
      <c r="C108" s="5">
        <v>13.943092950605299</v>
      </c>
      <c r="D108" s="5">
        <v>13.649078779561499</v>
      </c>
      <c r="E108" s="4">
        <v>4</v>
      </c>
      <c r="F108" s="4">
        <v>10</v>
      </c>
      <c r="G108" s="4">
        <v>3</v>
      </c>
    </row>
    <row r="109" spans="1:7" x14ac:dyDescent="0.2">
      <c r="A109" s="3">
        <v>45220</v>
      </c>
      <c r="B109" s="4" t="s">
        <v>8</v>
      </c>
      <c r="C109" s="5">
        <v>16.0872889064159</v>
      </c>
      <c r="D109" s="5">
        <v>15.0228942507869</v>
      </c>
      <c r="E109" s="4">
        <v>3</v>
      </c>
      <c r="F109" s="4">
        <v>19</v>
      </c>
      <c r="G109" s="4">
        <v>2</v>
      </c>
    </row>
    <row r="110" spans="1:7" x14ac:dyDescent="0.2">
      <c r="A110" s="3">
        <v>45266</v>
      </c>
      <c r="B110" s="4" t="s">
        <v>7</v>
      </c>
      <c r="C110" s="5">
        <v>15.128775195361399</v>
      </c>
      <c r="D110" s="5">
        <v>14.808138533054001</v>
      </c>
      <c r="E110" s="4">
        <v>3</v>
      </c>
      <c r="F110" s="4">
        <v>14</v>
      </c>
      <c r="G110" s="4">
        <v>1</v>
      </c>
    </row>
    <row r="111" spans="1:7" x14ac:dyDescent="0.2">
      <c r="A111" s="3">
        <v>45077</v>
      </c>
      <c r="B111" s="4" t="s">
        <v>8</v>
      </c>
      <c r="C111" s="5">
        <v>11.962777042116899</v>
      </c>
      <c r="D111" s="5">
        <v>9.2431938295213101</v>
      </c>
      <c r="E111" s="4">
        <v>5</v>
      </c>
      <c r="F111" s="4">
        <v>2</v>
      </c>
      <c r="G111" s="4">
        <v>3</v>
      </c>
    </row>
    <row r="112" spans="1:7" x14ac:dyDescent="0.2">
      <c r="A112" s="3">
        <v>45052</v>
      </c>
      <c r="B112" s="4" t="s">
        <v>8</v>
      </c>
      <c r="C112" s="5">
        <v>3.0406143923504798</v>
      </c>
      <c r="D112" s="5">
        <v>10.0586086311699</v>
      </c>
      <c r="E112" s="4">
        <v>5</v>
      </c>
      <c r="F112" s="4">
        <v>1</v>
      </c>
      <c r="G112" s="4">
        <v>4</v>
      </c>
    </row>
    <row r="113" spans="1:7" x14ac:dyDescent="0.2">
      <c r="A113" s="3">
        <v>45227</v>
      </c>
      <c r="B113" s="4" t="s">
        <v>7</v>
      </c>
      <c r="C113" s="5">
        <v>18.986743062275401</v>
      </c>
      <c r="D113" s="5">
        <v>18.7711835241107</v>
      </c>
      <c r="E113" s="4">
        <v>3</v>
      </c>
      <c r="F113" s="4">
        <v>18</v>
      </c>
      <c r="G113" s="4">
        <v>4</v>
      </c>
    </row>
    <row r="114" spans="1:7" x14ac:dyDescent="0.2">
      <c r="A114" s="3">
        <v>45234</v>
      </c>
      <c r="B114" s="4" t="s">
        <v>7</v>
      </c>
      <c r="C114" s="5">
        <v>10.0301151049705</v>
      </c>
      <c r="D114" s="5">
        <v>12.8825589317488</v>
      </c>
      <c r="E114" s="4">
        <v>4</v>
      </c>
      <c r="F114" s="4">
        <v>7</v>
      </c>
      <c r="G114" s="4">
        <v>5</v>
      </c>
    </row>
    <row r="115" spans="1:7" x14ac:dyDescent="0.2">
      <c r="A115" s="3">
        <v>45262</v>
      </c>
      <c r="B115" s="4" t="s">
        <v>7</v>
      </c>
      <c r="C115" s="5">
        <v>19.231621056242599</v>
      </c>
      <c r="D115" s="5">
        <v>13.9834912544446</v>
      </c>
      <c r="E115" s="4">
        <v>5</v>
      </c>
      <c r="F115" s="4">
        <v>8</v>
      </c>
      <c r="G115" s="4">
        <v>2</v>
      </c>
    </row>
    <row r="116" spans="1:7" x14ac:dyDescent="0.2">
      <c r="A116" s="3">
        <v>45160</v>
      </c>
      <c r="B116" s="4" t="s">
        <v>8</v>
      </c>
      <c r="C116" s="5">
        <v>15.903819517609399</v>
      </c>
      <c r="D116" s="5">
        <v>10.1353381247445</v>
      </c>
      <c r="E116" s="4">
        <v>2</v>
      </c>
      <c r="F116" s="4">
        <v>1</v>
      </c>
      <c r="G116" s="4">
        <v>3</v>
      </c>
    </row>
    <row r="117" spans="1:7" x14ac:dyDescent="0.2">
      <c r="A117" s="3">
        <v>44934</v>
      </c>
      <c r="B117" s="4" t="s">
        <v>8</v>
      </c>
      <c r="C117" s="5">
        <v>7.1507736711668102</v>
      </c>
      <c r="D117" s="5">
        <v>11.036888265350401</v>
      </c>
      <c r="E117" s="4">
        <v>5</v>
      </c>
      <c r="F117" s="4">
        <v>3</v>
      </c>
      <c r="G117" s="4">
        <v>5</v>
      </c>
    </row>
    <row r="118" spans="1:7" x14ac:dyDescent="0.2">
      <c r="A118" s="3">
        <v>45267</v>
      </c>
      <c r="B118" s="4" t="s">
        <v>7</v>
      </c>
      <c r="C118" s="5">
        <v>14.9826441151474</v>
      </c>
      <c r="D118" s="5">
        <v>16.973646450055899</v>
      </c>
      <c r="E118" s="4">
        <v>3</v>
      </c>
      <c r="F118" s="4">
        <v>8</v>
      </c>
      <c r="G118" s="4">
        <v>3</v>
      </c>
    </row>
    <row r="119" spans="1:7" x14ac:dyDescent="0.2">
      <c r="A119" s="3">
        <v>45055</v>
      </c>
      <c r="B119" s="4" t="s">
        <v>7</v>
      </c>
      <c r="C119" s="5">
        <v>14.4156609811902</v>
      </c>
      <c r="D119" s="5">
        <v>14.144222746189699</v>
      </c>
      <c r="E119" s="4">
        <v>5</v>
      </c>
      <c r="F119" s="4">
        <v>15</v>
      </c>
      <c r="G119" s="4">
        <v>2</v>
      </c>
    </row>
    <row r="120" spans="1:7" x14ac:dyDescent="0.2">
      <c r="A120" s="3">
        <v>45190</v>
      </c>
      <c r="B120" s="4" t="s">
        <v>7</v>
      </c>
      <c r="C120" s="5">
        <v>19.5714114072575</v>
      </c>
      <c r="D120" s="5">
        <v>11.892738856796599</v>
      </c>
      <c r="E120" s="4">
        <v>3</v>
      </c>
      <c r="F120" s="4">
        <v>5</v>
      </c>
      <c r="G120" s="4">
        <v>4</v>
      </c>
    </row>
    <row r="121" spans="1:7" x14ac:dyDescent="0.2">
      <c r="A121" s="3">
        <v>45083</v>
      </c>
      <c r="B121" s="4" t="s">
        <v>7</v>
      </c>
      <c r="C121" s="5">
        <v>14.3759665163434</v>
      </c>
      <c r="D121" s="5">
        <v>12.5015547122375</v>
      </c>
      <c r="E121" s="4">
        <v>2</v>
      </c>
      <c r="F121" s="4">
        <v>3</v>
      </c>
      <c r="G121" s="4">
        <v>1</v>
      </c>
    </row>
    <row r="122" spans="1:7" x14ac:dyDescent="0.2">
      <c r="A122" s="3">
        <v>45278</v>
      </c>
      <c r="B122" s="4" t="s">
        <v>8</v>
      </c>
      <c r="C122" s="5">
        <v>19.395515973521501</v>
      </c>
      <c r="D122" s="5">
        <v>17.4688611490642</v>
      </c>
      <c r="E122" s="4">
        <v>2</v>
      </c>
      <c r="F122" s="4">
        <v>19</v>
      </c>
      <c r="G122" s="4">
        <v>4</v>
      </c>
    </row>
    <row r="123" spans="1:7" x14ac:dyDescent="0.2">
      <c r="A123" s="3">
        <v>45284</v>
      </c>
      <c r="B123" s="4" t="s">
        <v>7</v>
      </c>
      <c r="C123" s="5">
        <v>13.5453062726026</v>
      </c>
      <c r="D123" s="5">
        <v>10.386853342420199</v>
      </c>
      <c r="E123" s="4">
        <v>4</v>
      </c>
      <c r="F123" s="4">
        <v>1</v>
      </c>
      <c r="G123" s="4">
        <v>5</v>
      </c>
    </row>
    <row r="124" spans="1:7" x14ac:dyDescent="0.2">
      <c r="A124" s="3">
        <v>44931</v>
      </c>
      <c r="B124" s="4" t="s">
        <v>8</v>
      </c>
      <c r="C124" s="5">
        <v>10.701397155468101</v>
      </c>
      <c r="D124" s="5">
        <v>8.4404853769295194</v>
      </c>
      <c r="E124" s="4">
        <v>4</v>
      </c>
      <c r="F124" s="4">
        <v>15</v>
      </c>
      <c r="G124" s="4">
        <v>1</v>
      </c>
    </row>
    <row r="125" spans="1:7" x14ac:dyDescent="0.2">
      <c r="A125" s="3">
        <v>45012</v>
      </c>
      <c r="B125" s="4" t="s">
        <v>8</v>
      </c>
      <c r="C125" s="5">
        <v>15.2990744686039</v>
      </c>
      <c r="D125" s="5">
        <v>14.0091743969238</v>
      </c>
      <c r="E125" s="4">
        <v>3</v>
      </c>
      <c r="F125" s="4">
        <v>8</v>
      </c>
      <c r="G125" s="4">
        <v>5</v>
      </c>
    </row>
    <row r="126" spans="1:7" x14ac:dyDescent="0.2">
      <c r="A126" s="3">
        <v>45101</v>
      </c>
      <c r="B126" s="4" t="s">
        <v>7</v>
      </c>
      <c r="C126" s="5">
        <v>17.293428546900099</v>
      </c>
      <c r="D126" s="5">
        <v>9.2136375705009801</v>
      </c>
      <c r="E126" s="4">
        <v>5</v>
      </c>
      <c r="F126" s="4">
        <v>2</v>
      </c>
      <c r="G126" s="4">
        <v>2</v>
      </c>
    </row>
    <row r="127" spans="1:7" x14ac:dyDescent="0.2">
      <c r="A127" s="3">
        <v>45216</v>
      </c>
      <c r="B127" s="4" t="s">
        <v>7</v>
      </c>
      <c r="C127" s="5">
        <v>17.095227812905001</v>
      </c>
      <c r="D127" s="5">
        <v>11.4008599510598</v>
      </c>
      <c r="E127" s="4">
        <v>2</v>
      </c>
      <c r="F127" s="4">
        <v>3</v>
      </c>
      <c r="G127" s="4">
        <v>1</v>
      </c>
    </row>
    <row r="128" spans="1:7" x14ac:dyDescent="0.2">
      <c r="A128" s="3">
        <v>45119</v>
      </c>
      <c r="B128" s="4" t="s">
        <v>7</v>
      </c>
      <c r="C128" s="5">
        <v>13.504731837434701</v>
      </c>
      <c r="D128" s="5">
        <v>9.3822086747409905</v>
      </c>
      <c r="E128" s="4">
        <v>4</v>
      </c>
      <c r="F128" s="4">
        <v>14</v>
      </c>
      <c r="G128" s="4">
        <v>5</v>
      </c>
    </row>
    <row r="129" spans="1:7" x14ac:dyDescent="0.2">
      <c r="A129" s="3">
        <v>45237</v>
      </c>
      <c r="B129" s="4" t="s">
        <v>8</v>
      </c>
      <c r="C129" s="5">
        <v>12.716851135198601</v>
      </c>
      <c r="D129" s="5">
        <v>15.2454121190033</v>
      </c>
      <c r="E129" s="4">
        <v>3</v>
      </c>
      <c r="F129" s="4">
        <v>14</v>
      </c>
      <c r="G129" s="4">
        <v>2</v>
      </c>
    </row>
    <row r="130" spans="1:7" x14ac:dyDescent="0.2">
      <c r="A130" s="3">
        <v>45045</v>
      </c>
      <c r="B130" s="4" t="s">
        <v>7</v>
      </c>
      <c r="C130" s="5">
        <v>6.0498256825438199</v>
      </c>
      <c r="D130" s="5">
        <v>10.2952931629716</v>
      </c>
      <c r="E130" s="4">
        <v>3</v>
      </c>
      <c r="F130" s="4">
        <v>11</v>
      </c>
      <c r="G130" s="4">
        <v>4</v>
      </c>
    </row>
    <row r="131" spans="1:7" x14ac:dyDescent="0.2">
      <c r="A131" s="3">
        <v>45144</v>
      </c>
      <c r="B131" s="4" t="s">
        <v>7</v>
      </c>
      <c r="C131" s="5">
        <v>14.748262172941899</v>
      </c>
      <c r="D131" s="5">
        <v>16.156358954130202</v>
      </c>
      <c r="E131" s="4">
        <v>4</v>
      </c>
      <c r="F131" s="4">
        <v>16</v>
      </c>
      <c r="G131" s="4">
        <v>2</v>
      </c>
    </row>
    <row r="132" spans="1:7" x14ac:dyDescent="0.2">
      <c r="A132" s="3">
        <v>45040</v>
      </c>
      <c r="B132" s="4" t="s">
        <v>8</v>
      </c>
      <c r="C132" s="5">
        <v>14.224668284466899</v>
      </c>
      <c r="D132" s="5">
        <v>12.4547676216532</v>
      </c>
      <c r="E132" s="4">
        <v>3</v>
      </c>
      <c r="F132" s="4">
        <v>4</v>
      </c>
      <c r="G132" s="4">
        <v>3</v>
      </c>
    </row>
    <row r="133" spans="1:7" x14ac:dyDescent="0.2">
      <c r="A133" s="3">
        <v>45071</v>
      </c>
      <c r="B133" s="4" t="s">
        <v>7</v>
      </c>
      <c r="C133" s="5">
        <v>11.034281487403</v>
      </c>
      <c r="D133" s="5">
        <v>12.6734633404504</v>
      </c>
      <c r="E133" s="4">
        <v>4</v>
      </c>
      <c r="F133" s="4">
        <v>20</v>
      </c>
      <c r="G133" s="4">
        <v>2</v>
      </c>
    </row>
    <row r="134" spans="1:7" x14ac:dyDescent="0.2">
      <c r="A134" s="3">
        <v>44952</v>
      </c>
      <c r="B134" s="4" t="s">
        <v>8</v>
      </c>
      <c r="C134" s="5">
        <v>13.468848143137</v>
      </c>
      <c r="D134" s="5">
        <v>10.821156944204599</v>
      </c>
      <c r="E134" s="4">
        <v>5</v>
      </c>
      <c r="F134" s="4">
        <v>5</v>
      </c>
      <c r="G134" s="4">
        <v>2</v>
      </c>
    </row>
    <row r="135" spans="1:7" x14ac:dyDescent="0.2">
      <c r="A135" s="3">
        <v>45062</v>
      </c>
      <c r="B135" s="4" t="s">
        <v>7</v>
      </c>
      <c r="C135" s="5">
        <v>17.2367962153176</v>
      </c>
      <c r="D135" s="5">
        <v>12.731889434915599</v>
      </c>
      <c r="E135" s="4">
        <v>3</v>
      </c>
      <c r="F135" s="4">
        <v>14</v>
      </c>
      <c r="G135" s="4">
        <v>3</v>
      </c>
    </row>
    <row r="136" spans="1:7" x14ac:dyDescent="0.2">
      <c r="A136" s="3">
        <v>45229</v>
      </c>
      <c r="B136" s="4" t="s">
        <v>8</v>
      </c>
      <c r="C136" s="5">
        <v>12.540287882883099</v>
      </c>
      <c r="D136" s="5">
        <v>19.824413380220101</v>
      </c>
      <c r="E136" s="4">
        <v>5</v>
      </c>
      <c r="F136" s="4">
        <v>16</v>
      </c>
      <c r="G136" s="4">
        <v>5</v>
      </c>
    </row>
    <row r="137" spans="1:7" x14ac:dyDescent="0.2">
      <c r="A137" s="3">
        <v>45158</v>
      </c>
      <c r="B137" s="4" t="s">
        <v>7</v>
      </c>
      <c r="C137" s="5">
        <v>15.774967202508799</v>
      </c>
      <c r="D137" s="5">
        <v>14.8935136249032</v>
      </c>
      <c r="E137" s="4">
        <v>3</v>
      </c>
      <c r="F137" s="4">
        <v>18</v>
      </c>
      <c r="G137" s="4">
        <v>5</v>
      </c>
    </row>
    <row r="138" spans="1:7" x14ac:dyDescent="0.2">
      <c r="A138" s="3">
        <v>45002</v>
      </c>
      <c r="B138" s="4" t="s">
        <v>7</v>
      </c>
      <c r="C138" s="5">
        <v>16.608373353831901</v>
      </c>
      <c r="D138" s="5">
        <v>14.556514450465301</v>
      </c>
      <c r="E138" s="4">
        <v>5</v>
      </c>
      <c r="F138" s="4">
        <v>7</v>
      </c>
      <c r="G138" s="4">
        <v>2</v>
      </c>
    </row>
    <row r="139" spans="1:7" x14ac:dyDescent="0.2">
      <c r="A139" s="3">
        <v>45254</v>
      </c>
      <c r="B139" s="4" t="s">
        <v>8</v>
      </c>
      <c r="C139" s="5">
        <v>7.8389692418971597</v>
      </c>
      <c r="D139" s="5">
        <v>7.7967387538806303</v>
      </c>
      <c r="E139" s="4">
        <v>5</v>
      </c>
      <c r="F139" s="4">
        <v>10</v>
      </c>
      <c r="G139" s="4">
        <v>3</v>
      </c>
    </row>
    <row r="140" spans="1:7" x14ac:dyDescent="0.2">
      <c r="A140" s="3">
        <v>45271</v>
      </c>
      <c r="B140" s="4" t="s">
        <v>8</v>
      </c>
      <c r="C140" s="5">
        <v>23.4067586086848</v>
      </c>
      <c r="D140" s="5">
        <v>17.834733444183001</v>
      </c>
      <c r="E140" s="4">
        <v>2</v>
      </c>
      <c r="F140" s="4">
        <v>7</v>
      </c>
      <c r="G140" s="4">
        <v>3</v>
      </c>
    </row>
    <row r="141" spans="1:7" x14ac:dyDescent="0.2">
      <c r="A141" s="3">
        <v>45228</v>
      </c>
      <c r="B141" s="4" t="s">
        <v>7</v>
      </c>
      <c r="C141" s="5">
        <v>13.384567841782999</v>
      </c>
      <c r="D141" s="5">
        <v>12.893356101163301</v>
      </c>
      <c r="E141" s="4">
        <v>3</v>
      </c>
      <c r="F141" s="4">
        <v>1</v>
      </c>
      <c r="G141" s="4">
        <v>4</v>
      </c>
    </row>
    <row r="142" spans="1:7" x14ac:dyDescent="0.2">
      <c r="A142" s="3">
        <v>45215</v>
      </c>
      <c r="B142" s="4" t="s">
        <v>8</v>
      </c>
      <c r="C142" s="5">
        <v>14.113729967302101</v>
      </c>
      <c r="D142" s="5">
        <v>15.5245420357002</v>
      </c>
      <c r="E142" s="4">
        <v>5</v>
      </c>
      <c r="F142" s="4">
        <v>19</v>
      </c>
      <c r="G142" s="4">
        <v>5</v>
      </c>
    </row>
    <row r="143" spans="1:7" x14ac:dyDescent="0.2">
      <c r="A143" s="3">
        <v>44927</v>
      </c>
      <c r="B143" s="4" t="s">
        <v>8</v>
      </c>
      <c r="C143" s="5">
        <v>23.653571377141201</v>
      </c>
      <c r="D143" s="5">
        <v>14.1816934026407</v>
      </c>
      <c r="E143" s="4">
        <v>4</v>
      </c>
      <c r="F143" s="4">
        <v>16</v>
      </c>
      <c r="G143" s="4">
        <v>1</v>
      </c>
    </row>
    <row r="144" spans="1:7" x14ac:dyDescent="0.2">
      <c r="A144" s="3">
        <v>45073</v>
      </c>
      <c r="B144" s="4" t="s">
        <v>8</v>
      </c>
      <c r="C144" s="5">
        <v>10.1962583827194</v>
      </c>
      <c r="D144" s="5">
        <v>14.312558168005699</v>
      </c>
      <c r="E144" s="4">
        <v>4</v>
      </c>
      <c r="F144" s="4">
        <v>19</v>
      </c>
      <c r="G144" s="4">
        <v>5</v>
      </c>
    </row>
    <row r="145" spans="1:7" x14ac:dyDescent="0.2">
      <c r="A145" s="3">
        <v>45213</v>
      </c>
      <c r="B145" s="4" t="s">
        <v>8</v>
      </c>
      <c r="C145" s="5">
        <v>9.0923169292661505</v>
      </c>
      <c r="D145" s="5">
        <v>11.5008742795277</v>
      </c>
      <c r="E145" s="4">
        <v>3</v>
      </c>
      <c r="F145" s="4">
        <v>4</v>
      </c>
      <c r="G145" s="4">
        <v>5</v>
      </c>
    </row>
    <row r="146" spans="1:7" x14ac:dyDescent="0.2">
      <c r="A146" s="3">
        <v>45068</v>
      </c>
      <c r="B146" s="4" t="s">
        <v>7</v>
      </c>
      <c r="C146" s="5">
        <v>9.1299413971242096</v>
      </c>
      <c r="D146" s="5">
        <v>17.7749145544995</v>
      </c>
      <c r="E146" s="4">
        <v>4</v>
      </c>
      <c r="F146" s="4">
        <v>18</v>
      </c>
      <c r="G146" s="4">
        <v>4</v>
      </c>
    </row>
    <row r="147" spans="1:7" x14ac:dyDescent="0.2">
      <c r="A147" s="3">
        <v>44979</v>
      </c>
      <c r="B147" s="4" t="s">
        <v>7</v>
      </c>
      <c r="C147" s="5">
        <v>8.3909114358886594</v>
      </c>
      <c r="D147" s="5">
        <v>8.4856655975586204</v>
      </c>
      <c r="E147" s="4">
        <v>4</v>
      </c>
      <c r="F147" s="4">
        <v>2</v>
      </c>
      <c r="G147" s="4">
        <v>1</v>
      </c>
    </row>
    <row r="148" spans="1:7" x14ac:dyDescent="0.2">
      <c r="A148" s="3">
        <v>45230</v>
      </c>
      <c r="B148" s="4" t="s">
        <v>8</v>
      </c>
      <c r="C148" s="5">
        <v>19.381524644561001</v>
      </c>
      <c r="D148" s="5">
        <v>14.616172435686201</v>
      </c>
      <c r="E148" s="4">
        <v>5</v>
      </c>
      <c r="F148" s="4">
        <v>1</v>
      </c>
      <c r="G148" s="4">
        <v>4</v>
      </c>
    </row>
    <row r="149" spans="1:7" x14ac:dyDescent="0.2">
      <c r="A149" s="3">
        <v>44995</v>
      </c>
      <c r="B149" s="4" t="s">
        <v>8</v>
      </c>
      <c r="C149" s="5">
        <v>18.339771693457902</v>
      </c>
      <c r="D149" s="5">
        <v>19.311930955833301</v>
      </c>
      <c r="E149" s="4">
        <v>4</v>
      </c>
      <c r="F149" s="4">
        <v>15</v>
      </c>
      <c r="G149" s="4">
        <v>1</v>
      </c>
    </row>
    <row r="150" spans="1:7" x14ac:dyDescent="0.2">
      <c r="A150" s="3">
        <v>45287</v>
      </c>
      <c r="B150" s="4" t="s">
        <v>8</v>
      </c>
      <c r="C150" s="5">
        <v>16.260970782808499</v>
      </c>
      <c r="D150" s="5">
        <v>10.4690054414244</v>
      </c>
      <c r="E150" s="4">
        <v>4</v>
      </c>
      <c r="F150" s="4">
        <v>5</v>
      </c>
      <c r="G150" s="4">
        <v>2</v>
      </c>
    </row>
    <row r="151" spans="1:7" x14ac:dyDescent="0.2">
      <c r="A151" s="3">
        <v>45016</v>
      </c>
      <c r="B151" s="4" t="s">
        <v>8</v>
      </c>
      <c r="C151" s="5">
        <v>12.1484923366166</v>
      </c>
      <c r="D151" s="5">
        <v>13.571360952218701</v>
      </c>
      <c r="E151" s="4">
        <v>4</v>
      </c>
      <c r="F151" s="4">
        <v>20</v>
      </c>
      <c r="G151" s="4">
        <v>1</v>
      </c>
    </row>
    <row r="152" spans="1:7" x14ac:dyDescent="0.2">
      <c r="A152" s="3">
        <v>45146</v>
      </c>
      <c r="B152" s="4" t="s">
        <v>7</v>
      </c>
      <c r="C152" s="5">
        <v>13.1252464251729</v>
      </c>
      <c r="D152" s="5">
        <v>12.6876475220275</v>
      </c>
      <c r="E152" s="4">
        <v>4</v>
      </c>
      <c r="F152" s="4">
        <v>11</v>
      </c>
      <c r="G152" s="4">
        <v>4</v>
      </c>
    </row>
    <row r="153" spans="1:7" x14ac:dyDescent="0.2">
      <c r="A153" s="3">
        <v>45118</v>
      </c>
      <c r="B153" s="4" t="s">
        <v>7</v>
      </c>
      <c r="C153" s="5">
        <v>13.173224104748501</v>
      </c>
      <c r="D153" s="5">
        <v>13.075679821516999</v>
      </c>
      <c r="E153" s="4">
        <v>4</v>
      </c>
      <c r="F153" s="4">
        <v>10</v>
      </c>
      <c r="G153" s="4">
        <v>5</v>
      </c>
    </row>
    <row r="154" spans="1:7" x14ac:dyDescent="0.2">
      <c r="A154" s="3">
        <v>44989</v>
      </c>
      <c r="B154" s="4" t="s">
        <v>8</v>
      </c>
      <c r="C154" s="5">
        <v>19.659987639210801</v>
      </c>
      <c r="D154" s="5">
        <v>13.069917525368099</v>
      </c>
      <c r="E154" s="4">
        <v>4</v>
      </c>
      <c r="F154" s="4">
        <v>2</v>
      </c>
      <c r="G154" s="4">
        <v>1</v>
      </c>
    </row>
    <row r="155" spans="1:7" x14ac:dyDescent="0.2">
      <c r="A155" s="3">
        <v>44999</v>
      </c>
      <c r="B155" s="4" t="s">
        <v>8</v>
      </c>
      <c r="C155" s="5">
        <v>18.1161268485805</v>
      </c>
      <c r="D155" s="5">
        <v>10.648401876235299</v>
      </c>
      <c r="E155" s="4">
        <v>4</v>
      </c>
      <c r="F155" s="4">
        <v>3</v>
      </c>
      <c r="G155" s="4">
        <v>1</v>
      </c>
    </row>
    <row r="156" spans="1:7" x14ac:dyDescent="0.2">
      <c r="A156" s="3">
        <v>45087</v>
      </c>
      <c r="B156" s="4" t="s">
        <v>8</v>
      </c>
      <c r="C156" s="5">
        <v>15.1465362366493</v>
      </c>
      <c r="D156" s="5">
        <v>14.524847575944101</v>
      </c>
      <c r="E156" s="4">
        <v>4</v>
      </c>
      <c r="F156" s="4">
        <v>12</v>
      </c>
      <c r="G156" s="4">
        <v>3</v>
      </c>
    </row>
    <row r="157" spans="1:7" x14ac:dyDescent="0.2">
      <c r="A157" s="3">
        <v>45095</v>
      </c>
      <c r="B157" s="4" t="s">
        <v>7</v>
      </c>
      <c r="C157" s="5">
        <v>12.6428242909868</v>
      </c>
      <c r="D157" s="5">
        <v>11.955104180174001</v>
      </c>
      <c r="E157" s="4">
        <v>5</v>
      </c>
      <c r="F157" s="4">
        <v>20</v>
      </c>
      <c r="G157" s="4">
        <v>5</v>
      </c>
    </row>
    <row r="158" spans="1:7" x14ac:dyDescent="0.2">
      <c r="A158" s="3">
        <v>45015</v>
      </c>
      <c r="B158" s="4" t="s">
        <v>8</v>
      </c>
      <c r="C158" s="5">
        <v>14.9328872555724</v>
      </c>
      <c r="D158" s="5">
        <v>13.430882486421799</v>
      </c>
      <c r="E158" s="4">
        <v>5</v>
      </c>
      <c r="F158" s="4">
        <v>5</v>
      </c>
      <c r="G158" s="4">
        <v>2</v>
      </c>
    </row>
    <row r="159" spans="1:7" x14ac:dyDescent="0.2">
      <c r="A159" s="3">
        <v>45102</v>
      </c>
      <c r="B159" s="4" t="s">
        <v>7</v>
      </c>
      <c r="C159" s="5">
        <v>21.236916460455902</v>
      </c>
      <c r="D159" s="5">
        <v>15.7554837851628</v>
      </c>
      <c r="E159" s="4">
        <v>4</v>
      </c>
      <c r="F159" s="4">
        <v>5</v>
      </c>
      <c r="G159" s="4">
        <v>4</v>
      </c>
    </row>
    <row r="160" spans="1:7" x14ac:dyDescent="0.2">
      <c r="A160" s="3">
        <v>45195</v>
      </c>
      <c r="B160" s="4" t="s">
        <v>8</v>
      </c>
      <c r="C160" s="5">
        <v>12.4043482513987</v>
      </c>
      <c r="D160" s="5">
        <v>10.2424594587548</v>
      </c>
      <c r="E160" s="4">
        <v>5</v>
      </c>
      <c r="F160" s="4">
        <v>6</v>
      </c>
      <c r="G160" s="4">
        <v>2</v>
      </c>
    </row>
    <row r="161" spans="1:7" x14ac:dyDescent="0.2">
      <c r="A161" s="3">
        <v>44999</v>
      </c>
      <c r="B161" s="4" t="s">
        <v>7</v>
      </c>
      <c r="C161" s="5">
        <v>24.3282768043169</v>
      </c>
      <c r="D161" s="5">
        <v>15.092852559991099</v>
      </c>
      <c r="E161" s="4">
        <v>4</v>
      </c>
      <c r="F161" s="4">
        <v>9</v>
      </c>
      <c r="G161" s="4">
        <v>5</v>
      </c>
    </row>
    <row r="162" spans="1:7" x14ac:dyDescent="0.2">
      <c r="A162" s="3">
        <v>45171</v>
      </c>
      <c r="B162" s="4" t="s">
        <v>8</v>
      </c>
      <c r="C162" s="5">
        <v>15.512659164886299</v>
      </c>
      <c r="D162" s="5">
        <v>13.3916188056981</v>
      </c>
      <c r="E162" s="4">
        <v>2</v>
      </c>
      <c r="F162" s="4">
        <v>2</v>
      </c>
      <c r="G162" s="4">
        <v>1</v>
      </c>
    </row>
    <row r="163" spans="1:7" x14ac:dyDescent="0.2">
      <c r="A163" s="3">
        <v>45003</v>
      </c>
      <c r="B163" s="4" t="s">
        <v>7</v>
      </c>
      <c r="C163" s="5">
        <v>12.3935423018712</v>
      </c>
      <c r="D163" s="5">
        <v>12.2564172700363</v>
      </c>
      <c r="E163" s="4">
        <v>3</v>
      </c>
      <c r="F163" s="4">
        <v>12</v>
      </c>
      <c r="G163" s="4">
        <v>1</v>
      </c>
    </row>
    <row r="164" spans="1:7" x14ac:dyDescent="0.2">
      <c r="A164" s="3">
        <v>45085</v>
      </c>
      <c r="B164" s="4" t="s">
        <v>8</v>
      </c>
      <c r="C164" s="5">
        <v>17.579297789503698</v>
      </c>
      <c r="D164" s="5">
        <v>19.339737602739302</v>
      </c>
      <c r="E164" s="4">
        <v>2</v>
      </c>
      <c r="F164" s="4">
        <v>3</v>
      </c>
      <c r="G164" s="4">
        <v>5</v>
      </c>
    </row>
    <row r="165" spans="1:7" x14ac:dyDescent="0.2">
      <c r="A165" s="3">
        <v>45250</v>
      </c>
      <c r="B165" s="4" t="s">
        <v>8</v>
      </c>
      <c r="C165" s="5">
        <v>8.5896588408241499</v>
      </c>
      <c r="D165" s="5">
        <v>13.6665978492119</v>
      </c>
      <c r="E165" s="4">
        <v>4</v>
      </c>
      <c r="F165" s="4">
        <v>20</v>
      </c>
      <c r="G165" s="4">
        <v>1</v>
      </c>
    </row>
    <row r="166" spans="1:7" x14ac:dyDescent="0.2">
      <c r="A166" s="3">
        <v>45024</v>
      </c>
      <c r="B166" s="4" t="s">
        <v>8</v>
      </c>
      <c r="C166" s="5">
        <v>7.4816880646221602</v>
      </c>
      <c r="D166" s="5">
        <v>12.624007623973901</v>
      </c>
      <c r="E166" s="4">
        <v>4</v>
      </c>
      <c r="F166" s="4">
        <v>12</v>
      </c>
      <c r="G166" s="4">
        <v>1</v>
      </c>
    </row>
    <row r="167" spans="1:7" x14ac:dyDescent="0.2">
      <c r="A167" s="3">
        <v>45028</v>
      </c>
      <c r="B167" s="4" t="s">
        <v>7</v>
      </c>
      <c r="C167" s="5">
        <v>14.206390463468299</v>
      </c>
      <c r="D167" s="5">
        <v>14.817959939778101</v>
      </c>
      <c r="E167" s="4">
        <v>5</v>
      </c>
      <c r="F167" s="4">
        <v>17</v>
      </c>
      <c r="G167" s="4">
        <v>1</v>
      </c>
    </row>
    <row r="168" spans="1:7" x14ac:dyDescent="0.2">
      <c r="A168" s="3">
        <v>45058</v>
      </c>
      <c r="B168" s="4" t="s">
        <v>8</v>
      </c>
      <c r="C168" s="5">
        <v>13.4110300799972</v>
      </c>
      <c r="D168" s="5">
        <v>10.224654640200299</v>
      </c>
      <c r="E168" s="4">
        <v>4</v>
      </c>
      <c r="F168" s="4">
        <v>10</v>
      </c>
      <c r="G168" s="4">
        <v>4</v>
      </c>
    </row>
    <row r="169" spans="1:7" x14ac:dyDescent="0.2">
      <c r="A169" s="3">
        <v>45028</v>
      </c>
      <c r="B169" s="4" t="s">
        <v>7</v>
      </c>
      <c r="C169" s="5">
        <v>10.948396491326999</v>
      </c>
      <c r="D169" s="5">
        <v>15.0168645368197</v>
      </c>
      <c r="E169" s="4">
        <v>4</v>
      </c>
      <c r="F169" s="4">
        <v>14</v>
      </c>
      <c r="G169" s="4">
        <v>4</v>
      </c>
    </row>
    <row r="170" spans="1:7" x14ac:dyDescent="0.2">
      <c r="A170" s="3">
        <v>44945</v>
      </c>
      <c r="B170" s="4" t="s">
        <v>7</v>
      </c>
      <c r="C170" s="5">
        <v>15.8773059419986</v>
      </c>
      <c r="D170" s="5">
        <v>13.5767790708205</v>
      </c>
      <c r="E170" s="4">
        <v>5</v>
      </c>
      <c r="F170" s="4">
        <v>17</v>
      </c>
      <c r="G170" s="4">
        <v>3</v>
      </c>
    </row>
    <row r="171" spans="1:7" x14ac:dyDescent="0.2">
      <c r="A171" s="3">
        <v>45008</v>
      </c>
      <c r="B171" s="4" t="s">
        <v>8</v>
      </c>
      <c r="C171" s="5">
        <v>16.623131917821301</v>
      </c>
      <c r="D171" s="5">
        <v>18.429304238668099</v>
      </c>
      <c r="E171" s="4">
        <v>2</v>
      </c>
      <c r="F171" s="4">
        <v>18</v>
      </c>
      <c r="G171" s="4">
        <v>2</v>
      </c>
    </row>
    <row r="172" spans="1:7" x14ac:dyDescent="0.2">
      <c r="A172" s="3">
        <v>45205</v>
      </c>
      <c r="B172" s="4" t="s">
        <v>8</v>
      </c>
      <c r="C172" s="5">
        <v>12.5552427851872</v>
      </c>
      <c r="D172" s="5">
        <v>14.7180100490118</v>
      </c>
      <c r="E172" s="4">
        <v>4</v>
      </c>
      <c r="F172" s="4">
        <v>19</v>
      </c>
      <c r="G172" s="4">
        <v>5</v>
      </c>
    </row>
    <row r="173" spans="1:7" x14ac:dyDescent="0.2">
      <c r="A173" s="3">
        <v>45265</v>
      </c>
      <c r="B173" s="4" t="s">
        <v>8</v>
      </c>
      <c r="C173" s="5">
        <v>12.592094857517299</v>
      </c>
      <c r="D173" s="5">
        <v>18.7667016854206</v>
      </c>
      <c r="E173" s="4">
        <v>5</v>
      </c>
      <c r="F173" s="4">
        <v>17</v>
      </c>
      <c r="G173" s="4">
        <v>5</v>
      </c>
    </row>
    <row r="174" spans="1:7" x14ac:dyDescent="0.2">
      <c r="A174" s="3">
        <v>45291</v>
      </c>
      <c r="B174" s="4" t="s">
        <v>7</v>
      </c>
      <c r="C174" s="5">
        <v>17.961449145292999</v>
      </c>
      <c r="D174" s="5">
        <v>17.432208229196799</v>
      </c>
      <c r="E174" s="4">
        <v>3</v>
      </c>
      <c r="F174" s="4">
        <v>14</v>
      </c>
      <c r="G174" s="4">
        <v>5</v>
      </c>
    </row>
    <row r="175" spans="1:7" x14ac:dyDescent="0.2">
      <c r="A175" s="3">
        <v>45257</v>
      </c>
      <c r="B175" s="4" t="s">
        <v>8</v>
      </c>
      <c r="C175" s="5">
        <v>14.1705759874083</v>
      </c>
      <c r="D175" s="5">
        <v>17.702897190276499</v>
      </c>
      <c r="E175" s="4">
        <v>5</v>
      </c>
      <c r="F175" s="4">
        <v>9</v>
      </c>
      <c r="G175" s="4">
        <v>3</v>
      </c>
    </row>
    <row r="176" spans="1:7" x14ac:dyDescent="0.2">
      <c r="A176" s="3">
        <v>45055</v>
      </c>
      <c r="B176" s="4" t="s">
        <v>7</v>
      </c>
      <c r="C176" s="5">
        <v>9.1383453996650097</v>
      </c>
      <c r="D176" s="5">
        <v>11.156779864772799</v>
      </c>
      <c r="E176" s="4">
        <v>4</v>
      </c>
      <c r="F176" s="4">
        <v>8</v>
      </c>
      <c r="G176" s="4">
        <v>4</v>
      </c>
    </row>
    <row r="177" spans="1:7" x14ac:dyDescent="0.2">
      <c r="A177" s="3">
        <v>45270</v>
      </c>
      <c r="B177" s="4" t="s">
        <v>7</v>
      </c>
      <c r="C177" s="5">
        <v>7.41359162451801</v>
      </c>
      <c r="D177" s="5">
        <v>8.3635787739213399</v>
      </c>
      <c r="E177" s="4">
        <v>4</v>
      </c>
      <c r="F177" s="4">
        <v>2</v>
      </c>
      <c r="G177" s="4">
        <v>3</v>
      </c>
    </row>
    <row r="178" spans="1:7" x14ac:dyDescent="0.2">
      <c r="A178" s="3">
        <v>45236</v>
      </c>
      <c r="B178" s="4" t="s">
        <v>8</v>
      </c>
      <c r="C178" s="5">
        <v>9.0065009459389493</v>
      </c>
      <c r="D178" s="5">
        <v>9.8859895735006003</v>
      </c>
      <c r="E178" s="4">
        <v>5</v>
      </c>
      <c r="F178" s="4">
        <v>13</v>
      </c>
      <c r="G178" s="4">
        <v>5</v>
      </c>
    </row>
    <row r="179" spans="1:7" x14ac:dyDescent="0.2">
      <c r="A179" s="3">
        <v>45015</v>
      </c>
      <c r="B179" s="4" t="s">
        <v>8</v>
      </c>
      <c r="C179" s="5">
        <v>18.7267670385787</v>
      </c>
      <c r="D179" s="5">
        <v>12.1163600418553</v>
      </c>
      <c r="E179" s="4">
        <v>5</v>
      </c>
      <c r="F179" s="4">
        <v>7</v>
      </c>
      <c r="G179" s="4">
        <v>2</v>
      </c>
    </row>
    <row r="180" spans="1:7" x14ac:dyDescent="0.2">
      <c r="A180" s="3">
        <v>45139</v>
      </c>
      <c r="B180" s="4" t="s">
        <v>8</v>
      </c>
      <c r="C180" s="5">
        <v>24.867671583381</v>
      </c>
      <c r="D180" s="5">
        <v>16.1117059975738</v>
      </c>
      <c r="E180" s="4">
        <v>4</v>
      </c>
      <c r="F180" s="4">
        <v>9</v>
      </c>
      <c r="G180" s="4">
        <v>1</v>
      </c>
    </row>
    <row r="181" spans="1:7" x14ac:dyDescent="0.2">
      <c r="A181" s="3">
        <v>45069</v>
      </c>
      <c r="B181" s="4" t="s">
        <v>8</v>
      </c>
      <c r="C181" s="5">
        <v>9.3600845832948103</v>
      </c>
      <c r="D181" s="5">
        <v>15.4239389240936</v>
      </c>
      <c r="E181" s="4">
        <v>4</v>
      </c>
      <c r="F181" s="4">
        <v>11</v>
      </c>
      <c r="G181" s="4">
        <v>4</v>
      </c>
    </row>
    <row r="182" spans="1:7" x14ac:dyDescent="0.2">
      <c r="A182" s="3">
        <v>44991</v>
      </c>
      <c r="B182" s="4" t="s">
        <v>8</v>
      </c>
      <c r="C182" s="5">
        <v>16.312833673882501</v>
      </c>
      <c r="D182" s="5">
        <v>22.449473364547899</v>
      </c>
      <c r="E182" s="4">
        <v>4</v>
      </c>
      <c r="F182" s="4">
        <v>14</v>
      </c>
      <c r="G182" s="4">
        <v>4</v>
      </c>
    </row>
    <row r="183" spans="1:7" x14ac:dyDescent="0.2">
      <c r="A183" s="3">
        <v>45002</v>
      </c>
      <c r="B183" s="4" t="s">
        <v>8</v>
      </c>
      <c r="C183" s="5">
        <v>13.571421221791899</v>
      </c>
      <c r="D183" s="5">
        <v>11.867726193711301</v>
      </c>
      <c r="E183" s="4">
        <v>3</v>
      </c>
      <c r="F183" s="4">
        <v>4</v>
      </c>
      <c r="G183" s="4">
        <v>3</v>
      </c>
    </row>
    <row r="184" spans="1:7" x14ac:dyDescent="0.2">
      <c r="A184" s="3">
        <v>45125</v>
      </c>
      <c r="B184" s="4" t="s">
        <v>7</v>
      </c>
      <c r="C184" s="5">
        <v>5.46455375096944</v>
      </c>
      <c r="D184" s="5">
        <v>9.2099137871603993</v>
      </c>
      <c r="E184" s="4">
        <v>5</v>
      </c>
      <c r="F184" s="4">
        <v>13</v>
      </c>
      <c r="G184" s="4">
        <v>4</v>
      </c>
    </row>
    <row r="185" spans="1:7" x14ac:dyDescent="0.2">
      <c r="A185" s="3">
        <v>45069</v>
      </c>
      <c r="B185" s="4" t="s">
        <v>7</v>
      </c>
      <c r="C185" s="5">
        <v>14.241236207621601</v>
      </c>
      <c r="D185" s="5">
        <v>16.072799401406201</v>
      </c>
      <c r="E185" s="4">
        <v>3</v>
      </c>
      <c r="F185" s="4">
        <v>2</v>
      </c>
      <c r="G185" s="4">
        <v>5</v>
      </c>
    </row>
    <row r="186" spans="1:7" x14ac:dyDescent="0.2">
      <c r="A186" s="3">
        <v>45242</v>
      </c>
      <c r="B186" s="4" t="s">
        <v>7</v>
      </c>
      <c r="C186" s="5">
        <v>11.8882686073371</v>
      </c>
      <c r="D186" s="5">
        <v>9.4077383272876798</v>
      </c>
      <c r="E186" s="4">
        <v>4</v>
      </c>
      <c r="F186" s="4">
        <v>5</v>
      </c>
      <c r="G186" s="4">
        <v>5</v>
      </c>
    </row>
    <row r="187" spans="1:7" x14ac:dyDescent="0.2">
      <c r="A187" s="3">
        <v>45019</v>
      </c>
      <c r="B187" s="4" t="s">
        <v>8</v>
      </c>
      <c r="C187" s="5">
        <v>15.3570002470461</v>
      </c>
      <c r="D187" s="5">
        <v>15.184447880477</v>
      </c>
      <c r="E187" s="4">
        <v>4</v>
      </c>
      <c r="F187" s="4">
        <v>11</v>
      </c>
      <c r="G187" s="4">
        <v>3</v>
      </c>
    </row>
    <row r="188" spans="1:7" x14ac:dyDescent="0.2">
      <c r="A188" s="3">
        <v>45231</v>
      </c>
      <c r="B188" s="4" t="s">
        <v>7</v>
      </c>
      <c r="C188" s="5">
        <v>16.2366188122868</v>
      </c>
      <c r="D188" s="5">
        <v>11.9228080798364</v>
      </c>
      <c r="E188" s="4">
        <v>4</v>
      </c>
      <c r="F188" s="4">
        <v>6</v>
      </c>
      <c r="G188" s="4">
        <v>5</v>
      </c>
    </row>
    <row r="189" spans="1:7" x14ac:dyDescent="0.2">
      <c r="A189" s="3">
        <v>45150</v>
      </c>
      <c r="B189" s="4" t="s">
        <v>7</v>
      </c>
      <c r="C189" s="5">
        <v>16.963585543671599</v>
      </c>
      <c r="D189" s="5">
        <v>15.2340963673256</v>
      </c>
      <c r="E189" s="4">
        <v>4</v>
      </c>
      <c r="F189" s="4">
        <v>18</v>
      </c>
      <c r="G189" s="4">
        <v>2</v>
      </c>
    </row>
    <row r="190" spans="1:7" x14ac:dyDescent="0.2">
      <c r="A190" s="3">
        <v>45217</v>
      </c>
      <c r="B190" s="4" t="s">
        <v>7</v>
      </c>
      <c r="C190" s="5">
        <v>12.576603140965799</v>
      </c>
      <c r="D190" s="5">
        <v>15.6088503269926</v>
      </c>
      <c r="E190" s="4">
        <v>5</v>
      </c>
      <c r="F190" s="4">
        <v>10</v>
      </c>
      <c r="G190" s="4">
        <v>3</v>
      </c>
    </row>
    <row r="191" spans="1:7" x14ac:dyDescent="0.2">
      <c r="A191" s="3">
        <v>45028</v>
      </c>
      <c r="B191" s="4" t="s">
        <v>7</v>
      </c>
      <c r="C191" s="5">
        <v>16.242576387657099</v>
      </c>
      <c r="D191" s="5">
        <v>12.123907749162001</v>
      </c>
      <c r="E191" s="4">
        <v>3</v>
      </c>
      <c r="F191" s="4">
        <v>4</v>
      </c>
      <c r="G191" s="4">
        <v>2</v>
      </c>
    </row>
    <row r="192" spans="1:7" x14ac:dyDescent="0.2">
      <c r="A192" s="3">
        <v>45193</v>
      </c>
      <c r="B192" s="4" t="s">
        <v>7</v>
      </c>
      <c r="C192" s="5">
        <v>20.776742523966501</v>
      </c>
      <c r="D192" s="5">
        <v>16.7822940768751</v>
      </c>
      <c r="E192" s="4">
        <v>4</v>
      </c>
      <c r="F192" s="4">
        <v>9</v>
      </c>
      <c r="G192" s="4">
        <v>1</v>
      </c>
    </row>
    <row r="193" spans="1:7" x14ac:dyDescent="0.2">
      <c r="A193" s="3">
        <v>45281</v>
      </c>
      <c r="B193" s="4" t="s">
        <v>8</v>
      </c>
      <c r="C193" s="5">
        <v>23.428199397161698</v>
      </c>
      <c r="D193" s="5">
        <v>17.048536158812201</v>
      </c>
      <c r="E193" s="4">
        <v>3</v>
      </c>
      <c r="F193" s="4">
        <v>6</v>
      </c>
      <c r="G193" s="4">
        <v>2</v>
      </c>
    </row>
    <row r="194" spans="1:7" x14ac:dyDescent="0.2">
      <c r="A194" s="3">
        <v>45036</v>
      </c>
      <c r="B194" s="4" t="s">
        <v>8</v>
      </c>
      <c r="C194" s="5">
        <v>16.107046872065101</v>
      </c>
      <c r="D194" s="5">
        <v>7.1744570572497297</v>
      </c>
      <c r="E194" s="4">
        <v>4</v>
      </c>
      <c r="F194" s="4">
        <v>2</v>
      </c>
      <c r="G194" s="4">
        <v>1</v>
      </c>
    </row>
    <row r="195" spans="1:7" x14ac:dyDescent="0.2">
      <c r="A195" s="3">
        <v>45256</v>
      </c>
      <c r="B195" s="4" t="s">
        <v>7</v>
      </c>
      <c r="C195" s="5">
        <v>21.377130610643999</v>
      </c>
      <c r="D195" s="5">
        <v>14.2795616086119</v>
      </c>
      <c r="E195" s="4">
        <v>4</v>
      </c>
      <c r="F195" s="4">
        <v>17</v>
      </c>
      <c r="G195" s="4">
        <v>1</v>
      </c>
    </row>
    <row r="196" spans="1:7" x14ac:dyDescent="0.2">
      <c r="A196" s="3">
        <v>45191</v>
      </c>
      <c r="B196" s="4" t="s">
        <v>7</v>
      </c>
      <c r="C196" s="5">
        <v>6.0865904629255896</v>
      </c>
      <c r="D196" s="5">
        <v>5.72176080749185</v>
      </c>
      <c r="E196" s="4">
        <v>5</v>
      </c>
      <c r="F196" s="4">
        <v>5</v>
      </c>
      <c r="G196" s="4">
        <v>2</v>
      </c>
    </row>
    <row r="197" spans="1:7" x14ac:dyDescent="0.2">
      <c r="A197" s="3">
        <v>44929</v>
      </c>
      <c r="B197" s="4" t="s">
        <v>7</v>
      </c>
      <c r="C197" s="5">
        <v>13.1926586898644</v>
      </c>
      <c r="D197" s="5">
        <v>17.147331277127002</v>
      </c>
      <c r="E197" s="4">
        <v>3</v>
      </c>
      <c r="F197" s="4">
        <v>6</v>
      </c>
      <c r="G197" s="4">
        <v>3</v>
      </c>
    </row>
    <row r="198" spans="1:7" x14ac:dyDescent="0.2">
      <c r="A198" s="3">
        <v>45011</v>
      </c>
      <c r="B198" s="4" t="s">
        <v>8</v>
      </c>
      <c r="C198" s="5">
        <v>15.5580712818994</v>
      </c>
      <c r="D198" s="5">
        <v>13.7476077317012</v>
      </c>
      <c r="E198" s="4">
        <v>5</v>
      </c>
      <c r="F198" s="4">
        <v>12</v>
      </c>
      <c r="G198" s="4">
        <v>5</v>
      </c>
    </row>
    <row r="199" spans="1:7" x14ac:dyDescent="0.2">
      <c r="A199" s="3">
        <v>45208</v>
      </c>
      <c r="B199" s="4" t="s">
        <v>8</v>
      </c>
      <c r="C199" s="5">
        <v>19.076862552972798</v>
      </c>
      <c r="D199" s="5">
        <v>18.466938431369002</v>
      </c>
      <c r="E199" s="4">
        <v>5</v>
      </c>
      <c r="F199" s="4">
        <v>10</v>
      </c>
      <c r="G199" s="4">
        <v>5</v>
      </c>
    </row>
    <row r="200" spans="1:7" x14ac:dyDescent="0.2">
      <c r="A200" s="3">
        <v>45254</v>
      </c>
      <c r="B200" s="4" t="s">
        <v>7</v>
      </c>
      <c r="C200" s="5">
        <v>14.029104359223</v>
      </c>
      <c r="D200" s="5">
        <v>7.3066140165917597</v>
      </c>
      <c r="E200" s="4">
        <v>4</v>
      </c>
      <c r="F200" s="4">
        <v>6</v>
      </c>
      <c r="G200" s="4">
        <v>1</v>
      </c>
    </row>
    <row r="201" spans="1:7" x14ac:dyDescent="0.2">
      <c r="A201" s="3">
        <v>45230</v>
      </c>
      <c r="B201" s="4" t="s">
        <v>8</v>
      </c>
      <c r="C201" s="5">
        <v>19.428514851084699</v>
      </c>
      <c r="D201" s="5">
        <v>12.23218928376</v>
      </c>
      <c r="E201" s="4">
        <v>5</v>
      </c>
      <c r="F201" s="4">
        <v>8</v>
      </c>
      <c r="G201" s="4">
        <v>1</v>
      </c>
    </row>
    <row r="202" spans="1:7" x14ac:dyDescent="0.2">
      <c r="A202" s="3">
        <v>45112</v>
      </c>
      <c r="B202" s="4" t="s">
        <v>7</v>
      </c>
      <c r="C202" s="5">
        <v>18.178893680174099</v>
      </c>
      <c r="D202" s="5">
        <v>14.2963938607103</v>
      </c>
      <c r="E202" s="4">
        <v>3</v>
      </c>
      <c r="F202" s="4">
        <v>11</v>
      </c>
      <c r="G202" s="4">
        <v>2</v>
      </c>
    </row>
    <row r="203" spans="1:7" x14ac:dyDescent="0.2">
      <c r="A203" s="3">
        <v>45172</v>
      </c>
      <c r="B203" s="4" t="s">
        <v>7</v>
      </c>
      <c r="C203" s="5">
        <v>10.280392263184099</v>
      </c>
      <c r="D203" s="5">
        <v>7.62055875554534</v>
      </c>
      <c r="E203" s="4">
        <v>4</v>
      </c>
      <c r="F203" s="4">
        <v>5</v>
      </c>
      <c r="G203" s="4">
        <v>4</v>
      </c>
    </row>
    <row r="204" spans="1:7" x14ac:dyDescent="0.2">
      <c r="A204" s="3">
        <v>45051</v>
      </c>
      <c r="B204" s="4" t="s">
        <v>7</v>
      </c>
      <c r="C204" s="5">
        <v>16.541525621587599</v>
      </c>
      <c r="D204" s="5">
        <v>18.8984904061926</v>
      </c>
      <c r="E204" s="4">
        <v>4</v>
      </c>
      <c r="F204" s="4">
        <v>20</v>
      </c>
      <c r="G204" s="4">
        <v>5</v>
      </c>
    </row>
    <row r="205" spans="1:7" x14ac:dyDescent="0.2">
      <c r="A205" s="3">
        <v>45194</v>
      </c>
      <c r="B205" s="4" t="s">
        <v>8</v>
      </c>
      <c r="C205" s="5">
        <v>19.526901026017502</v>
      </c>
      <c r="D205" s="5">
        <v>17.270273847432499</v>
      </c>
      <c r="E205" s="4">
        <v>5</v>
      </c>
      <c r="F205" s="4">
        <v>11</v>
      </c>
      <c r="G205" s="4">
        <v>1</v>
      </c>
    </row>
    <row r="206" spans="1:7" x14ac:dyDescent="0.2">
      <c r="A206" s="3">
        <v>45057</v>
      </c>
      <c r="B206" s="4" t="s">
        <v>8</v>
      </c>
      <c r="C206" s="5">
        <v>10.3111653160215</v>
      </c>
      <c r="D206" s="5">
        <v>13.4484509060946</v>
      </c>
      <c r="E206" s="4">
        <v>5</v>
      </c>
      <c r="F206" s="4">
        <v>10</v>
      </c>
      <c r="G206" s="4">
        <v>5</v>
      </c>
    </row>
    <row r="207" spans="1:7" x14ac:dyDescent="0.2">
      <c r="A207" s="3">
        <v>45163</v>
      </c>
      <c r="B207" s="4" t="s">
        <v>7</v>
      </c>
      <c r="C207" s="5">
        <v>12.5310874800424</v>
      </c>
      <c r="D207" s="5">
        <v>12.972375441235</v>
      </c>
      <c r="E207" s="4">
        <v>3</v>
      </c>
      <c r="F207" s="4">
        <v>8</v>
      </c>
      <c r="G207" s="4">
        <v>2</v>
      </c>
    </row>
    <row r="208" spans="1:7" x14ac:dyDescent="0.2">
      <c r="A208" s="3">
        <v>44944</v>
      </c>
      <c r="B208" s="4" t="s">
        <v>8</v>
      </c>
      <c r="C208" s="5">
        <v>14.2575176336043</v>
      </c>
      <c r="D208" s="5">
        <v>11.595320719803</v>
      </c>
      <c r="E208" s="4">
        <v>2</v>
      </c>
      <c r="F208" s="4">
        <v>6</v>
      </c>
      <c r="G208" s="4">
        <v>5</v>
      </c>
    </row>
    <row r="209" spans="1:7" x14ac:dyDescent="0.2">
      <c r="A209" s="3">
        <v>44966</v>
      </c>
      <c r="B209" s="4" t="s">
        <v>7</v>
      </c>
      <c r="C209" s="5">
        <v>16.2568929754561</v>
      </c>
      <c r="D209" s="5">
        <v>9.1696915503658101</v>
      </c>
      <c r="E209" s="4">
        <v>5</v>
      </c>
      <c r="F209" s="4">
        <v>6</v>
      </c>
      <c r="G209" s="4">
        <v>1</v>
      </c>
    </row>
    <row r="210" spans="1:7" x14ac:dyDescent="0.2">
      <c r="A210" s="3">
        <v>44947</v>
      </c>
      <c r="B210" s="4" t="s">
        <v>8</v>
      </c>
      <c r="C210" s="5">
        <v>12.257523843153001</v>
      </c>
      <c r="D210" s="5">
        <v>16.448336738348701</v>
      </c>
      <c r="E210" s="4">
        <v>4</v>
      </c>
      <c r="F210" s="4">
        <v>8</v>
      </c>
      <c r="G210" s="4">
        <v>2</v>
      </c>
    </row>
    <row r="211" spans="1:7" x14ac:dyDescent="0.2">
      <c r="A211" s="3">
        <v>45151</v>
      </c>
      <c r="B211" s="4" t="s">
        <v>7</v>
      </c>
      <c r="C211" s="5">
        <v>15.9263657453274</v>
      </c>
      <c r="D211" s="5">
        <v>18.591826771958999</v>
      </c>
      <c r="E211" s="4">
        <v>3</v>
      </c>
      <c r="F211" s="4">
        <v>15</v>
      </c>
      <c r="G211" s="4">
        <v>5</v>
      </c>
    </row>
    <row r="212" spans="1:7" x14ac:dyDescent="0.2">
      <c r="A212" s="3">
        <v>45281</v>
      </c>
      <c r="B212" s="4" t="s">
        <v>7</v>
      </c>
      <c r="C212" s="5">
        <v>11.2854452553466</v>
      </c>
      <c r="D212" s="5">
        <v>11.1577807629894</v>
      </c>
      <c r="E212" s="4">
        <v>5</v>
      </c>
      <c r="F212" s="4">
        <v>14</v>
      </c>
      <c r="G212" s="4">
        <v>4</v>
      </c>
    </row>
    <row r="213" spans="1:7" x14ac:dyDescent="0.2">
      <c r="A213" s="3">
        <v>45208</v>
      </c>
      <c r="B213" s="4" t="s">
        <v>8</v>
      </c>
      <c r="C213" s="5">
        <v>16.567782820090301</v>
      </c>
      <c r="D213" s="5">
        <v>13.9728352989555</v>
      </c>
      <c r="E213" s="4">
        <v>4</v>
      </c>
      <c r="F213" s="4">
        <v>11</v>
      </c>
      <c r="G213" s="4">
        <v>2</v>
      </c>
    </row>
    <row r="214" spans="1:7" x14ac:dyDescent="0.2">
      <c r="A214" s="3">
        <v>44934</v>
      </c>
      <c r="B214" s="4" t="s">
        <v>8</v>
      </c>
      <c r="C214" s="5">
        <v>16.477000881746601</v>
      </c>
      <c r="D214" s="5">
        <v>12.589640475675401</v>
      </c>
      <c r="E214" s="4">
        <v>5</v>
      </c>
      <c r="F214" s="4">
        <v>12</v>
      </c>
      <c r="G214" s="4">
        <v>2</v>
      </c>
    </row>
    <row r="215" spans="1:7" x14ac:dyDescent="0.2">
      <c r="A215" s="3">
        <v>45026</v>
      </c>
      <c r="B215" s="4" t="s">
        <v>7</v>
      </c>
      <c r="C215" s="5">
        <v>13.3256956256529</v>
      </c>
      <c r="D215" s="5">
        <v>14.3716586072818</v>
      </c>
      <c r="E215" s="4">
        <v>4</v>
      </c>
      <c r="F215" s="4">
        <v>13</v>
      </c>
      <c r="G215" s="4">
        <v>4</v>
      </c>
    </row>
    <row r="216" spans="1:7" x14ac:dyDescent="0.2">
      <c r="A216" s="3">
        <v>45166</v>
      </c>
      <c r="B216" s="4" t="s">
        <v>7</v>
      </c>
      <c r="C216" s="5">
        <v>16.842365377679801</v>
      </c>
      <c r="D216" s="5">
        <v>16.170774142705099</v>
      </c>
      <c r="E216" s="4">
        <v>5</v>
      </c>
      <c r="F216" s="4">
        <v>8</v>
      </c>
      <c r="G216" s="4">
        <v>3</v>
      </c>
    </row>
    <row r="217" spans="1:7" x14ac:dyDescent="0.2">
      <c r="A217" s="3">
        <v>45013</v>
      </c>
      <c r="B217" s="4" t="s">
        <v>8</v>
      </c>
      <c r="C217" s="5">
        <v>10.3794846102466</v>
      </c>
      <c r="D217" s="5">
        <v>15.1994789621463</v>
      </c>
      <c r="E217" s="4">
        <v>5</v>
      </c>
      <c r="F217" s="4">
        <v>18</v>
      </c>
      <c r="G217" s="4">
        <v>1</v>
      </c>
    </row>
    <row r="218" spans="1:7" x14ac:dyDescent="0.2">
      <c r="A218" s="3">
        <v>45224</v>
      </c>
      <c r="B218" s="4" t="s">
        <v>8</v>
      </c>
      <c r="C218" s="5">
        <v>11.613587392731199</v>
      </c>
      <c r="D218" s="5">
        <v>8.6501852095679403</v>
      </c>
      <c r="E218" s="4">
        <v>4</v>
      </c>
      <c r="F218" s="4">
        <v>1</v>
      </c>
      <c r="G218" s="4">
        <v>3</v>
      </c>
    </row>
    <row r="219" spans="1:7" x14ac:dyDescent="0.2">
      <c r="A219" s="3">
        <v>44940</v>
      </c>
      <c r="B219" s="4" t="s">
        <v>7</v>
      </c>
      <c r="C219" s="5">
        <v>12.881590696629999</v>
      </c>
      <c r="D219" s="5">
        <v>14.6698748833244</v>
      </c>
      <c r="E219" s="4">
        <v>5</v>
      </c>
      <c r="F219" s="4">
        <v>15</v>
      </c>
      <c r="G219" s="4">
        <v>5</v>
      </c>
    </row>
    <row r="220" spans="1:7" x14ac:dyDescent="0.2">
      <c r="A220" s="3">
        <v>45260</v>
      </c>
      <c r="B220" s="4" t="s">
        <v>8</v>
      </c>
      <c r="C220" s="5">
        <v>14.7573182260855</v>
      </c>
      <c r="D220" s="5">
        <v>8.7653389998218803</v>
      </c>
      <c r="E220" s="4">
        <v>5</v>
      </c>
      <c r="F220" s="4">
        <v>8</v>
      </c>
      <c r="G220" s="4">
        <v>4</v>
      </c>
    </row>
    <row r="221" spans="1:7" x14ac:dyDescent="0.2">
      <c r="A221" s="3">
        <v>44928</v>
      </c>
      <c r="B221" s="4" t="s">
        <v>7</v>
      </c>
      <c r="C221" s="5">
        <v>9.0409370696931592</v>
      </c>
      <c r="D221" s="5">
        <v>8.3133680659232692</v>
      </c>
      <c r="E221" s="4">
        <v>5</v>
      </c>
      <c r="F221" s="4">
        <v>11</v>
      </c>
      <c r="G221" s="4">
        <v>3</v>
      </c>
    </row>
    <row r="222" spans="1:7" x14ac:dyDescent="0.2">
      <c r="A222" s="3">
        <v>45219</v>
      </c>
      <c r="B222" s="4" t="s">
        <v>7</v>
      </c>
      <c r="C222" s="5">
        <v>7.1573292833367503</v>
      </c>
      <c r="D222" s="5">
        <v>12.956919972586199</v>
      </c>
      <c r="E222" s="4">
        <v>3</v>
      </c>
      <c r="F222" s="4">
        <v>12</v>
      </c>
      <c r="G222" s="4">
        <v>2</v>
      </c>
    </row>
    <row r="223" spans="1:7" x14ac:dyDescent="0.2">
      <c r="A223" s="3">
        <v>45251</v>
      </c>
      <c r="B223" s="4" t="s">
        <v>7</v>
      </c>
      <c r="C223" s="5">
        <v>13.066367403704101</v>
      </c>
      <c r="D223" s="5">
        <v>11.553318371481801</v>
      </c>
      <c r="E223" s="4">
        <v>5</v>
      </c>
      <c r="F223" s="4">
        <v>12</v>
      </c>
      <c r="G223" s="4">
        <v>5</v>
      </c>
    </row>
    <row r="224" spans="1:7" x14ac:dyDescent="0.2">
      <c r="A224" s="3">
        <v>44967</v>
      </c>
      <c r="B224" s="4" t="s">
        <v>7</v>
      </c>
      <c r="C224" s="5">
        <v>19.343130095187298</v>
      </c>
      <c r="D224" s="5">
        <v>12.7151451524128</v>
      </c>
      <c r="E224" s="4">
        <v>5</v>
      </c>
      <c r="F224" s="4">
        <v>4</v>
      </c>
      <c r="G224" s="4">
        <v>5</v>
      </c>
    </row>
    <row r="225" spans="1:7" x14ac:dyDescent="0.2">
      <c r="A225" s="3">
        <v>45244</v>
      </c>
      <c r="B225" s="4" t="s">
        <v>8</v>
      </c>
      <c r="C225" s="5">
        <v>11.1936420644052</v>
      </c>
      <c r="D225" s="5">
        <v>15.6210988459333</v>
      </c>
      <c r="E225" s="4">
        <v>2</v>
      </c>
      <c r="F225" s="4">
        <v>16</v>
      </c>
      <c r="G225" s="4">
        <v>3</v>
      </c>
    </row>
    <row r="226" spans="1:7" x14ac:dyDescent="0.2">
      <c r="A226" s="3">
        <v>45242</v>
      </c>
      <c r="B226" s="4" t="s">
        <v>8</v>
      </c>
      <c r="C226" s="5">
        <v>9.7640340671052801</v>
      </c>
      <c r="D226" s="5">
        <v>14.052133215763901</v>
      </c>
      <c r="E226" s="4">
        <v>3</v>
      </c>
      <c r="F226" s="4">
        <v>4</v>
      </c>
      <c r="G226" s="4">
        <v>3</v>
      </c>
    </row>
    <row r="227" spans="1:7" x14ac:dyDescent="0.2">
      <c r="A227" s="3">
        <v>45037</v>
      </c>
      <c r="B227" s="4" t="s">
        <v>8</v>
      </c>
      <c r="C227" s="5">
        <v>18.5444752984837</v>
      </c>
      <c r="D227" s="5">
        <v>11.5900820369129</v>
      </c>
      <c r="E227" s="4">
        <v>2</v>
      </c>
      <c r="F227" s="4">
        <v>5</v>
      </c>
      <c r="G227" s="4">
        <v>4</v>
      </c>
    </row>
    <row r="228" spans="1:7" x14ac:dyDescent="0.2">
      <c r="A228" s="3">
        <v>44940</v>
      </c>
      <c r="B228" s="4" t="s">
        <v>8</v>
      </c>
      <c r="C228" s="5">
        <v>17.0321400095477</v>
      </c>
      <c r="D228" s="5">
        <v>3.0052545539187698</v>
      </c>
      <c r="E228" s="4">
        <v>4</v>
      </c>
      <c r="F228" s="4">
        <v>5</v>
      </c>
      <c r="G228" s="4">
        <v>1</v>
      </c>
    </row>
    <row r="229" spans="1:7" x14ac:dyDescent="0.2">
      <c r="A229" s="3">
        <v>45157</v>
      </c>
      <c r="B229" s="4" t="s">
        <v>8</v>
      </c>
      <c r="C229" s="5">
        <v>17.461127611035401</v>
      </c>
      <c r="D229" s="5">
        <v>11.1363910505715</v>
      </c>
      <c r="E229" s="4">
        <v>5</v>
      </c>
      <c r="F229" s="4">
        <v>8</v>
      </c>
      <c r="G229" s="4">
        <v>3</v>
      </c>
    </row>
    <row r="230" spans="1:7" x14ac:dyDescent="0.2">
      <c r="A230" s="3">
        <v>45010</v>
      </c>
      <c r="B230" s="4" t="s">
        <v>8</v>
      </c>
      <c r="C230" s="5">
        <v>12.642348145370001</v>
      </c>
      <c r="D230" s="5">
        <v>15.3530776334841</v>
      </c>
      <c r="E230" s="4">
        <v>5</v>
      </c>
      <c r="F230" s="4">
        <v>10</v>
      </c>
      <c r="G230" s="4">
        <v>3</v>
      </c>
    </row>
    <row r="231" spans="1:7" x14ac:dyDescent="0.2">
      <c r="A231" s="3">
        <v>45056</v>
      </c>
      <c r="B231" s="4" t="s">
        <v>8</v>
      </c>
      <c r="C231" s="5">
        <v>20.339798874467299</v>
      </c>
      <c r="D231" s="5">
        <v>17.623771690471798</v>
      </c>
      <c r="E231" s="4">
        <v>4</v>
      </c>
      <c r="F231" s="4">
        <v>17</v>
      </c>
      <c r="G231" s="4">
        <v>2</v>
      </c>
    </row>
    <row r="232" spans="1:7" x14ac:dyDescent="0.2">
      <c r="A232" s="3">
        <v>45157</v>
      </c>
      <c r="B232" s="4" t="s">
        <v>7</v>
      </c>
      <c r="C232" s="5">
        <v>12.6348166841414</v>
      </c>
      <c r="D232" s="5">
        <v>14.824961768667601</v>
      </c>
      <c r="E232" s="4">
        <v>5</v>
      </c>
      <c r="F232" s="4">
        <v>9</v>
      </c>
      <c r="G232" s="4">
        <v>5</v>
      </c>
    </row>
    <row r="233" spans="1:7" x14ac:dyDescent="0.2">
      <c r="A233" s="3">
        <v>45252</v>
      </c>
      <c r="B233" s="4" t="s">
        <v>8</v>
      </c>
      <c r="C233" s="5">
        <v>13.108229294791</v>
      </c>
      <c r="D233" s="5">
        <v>12.741144868290601</v>
      </c>
      <c r="E233" s="4">
        <v>3</v>
      </c>
      <c r="F233" s="4">
        <v>19</v>
      </c>
      <c r="G233" s="4">
        <v>1</v>
      </c>
    </row>
    <row r="234" spans="1:7" x14ac:dyDescent="0.2">
      <c r="A234" s="3">
        <v>45071</v>
      </c>
      <c r="B234" s="4" t="s">
        <v>8</v>
      </c>
      <c r="C234" s="5">
        <v>18.0227859199519</v>
      </c>
      <c r="D234" s="5">
        <v>11.5909038018345</v>
      </c>
      <c r="E234" s="4">
        <v>2</v>
      </c>
      <c r="F234" s="4">
        <v>14</v>
      </c>
      <c r="G234" s="4">
        <v>2</v>
      </c>
    </row>
    <row r="235" spans="1:7" x14ac:dyDescent="0.2">
      <c r="A235" s="3">
        <v>45271</v>
      </c>
      <c r="B235" s="4" t="s">
        <v>7</v>
      </c>
      <c r="C235" s="5">
        <v>20.6741998261971</v>
      </c>
      <c r="D235" s="5">
        <v>15.957554632655601</v>
      </c>
      <c r="E235" s="4">
        <v>4</v>
      </c>
      <c r="F235" s="4">
        <v>8</v>
      </c>
      <c r="G235" s="4">
        <v>4</v>
      </c>
    </row>
    <row r="236" spans="1:7" x14ac:dyDescent="0.2">
      <c r="A236" s="3">
        <v>44954</v>
      </c>
      <c r="B236" s="4" t="s">
        <v>8</v>
      </c>
      <c r="C236" s="5">
        <v>11.071972044662701</v>
      </c>
      <c r="D236" s="5">
        <v>11.8915837815305</v>
      </c>
      <c r="E236" s="4">
        <v>4</v>
      </c>
      <c r="F236" s="4">
        <v>9</v>
      </c>
      <c r="G236" s="4">
        <v>4</v>
      </c>
    </row>
    <row r="237" spans="1:7" x14ac:dyDescent="0.2">
      <c r="A237" s="3">
        <v>44992</v>
      </c>
      <c r="B237" s="4" t="s">
        <v>8</v>
      </c>
      <c r="C237" s="5">
        <v>18.316959511158998</v>
      </c>
      <c r="D237" s="5">
        <v>14.1054861306371</v>
      </c>
      <c r="E237" s="4">
        <v>4</v>
      </c>
      <c r="F237" s="4">
        <v>11</v>
      </c>
      <c r="G237" s="4">
        <v>3</v>
      </c>
    </row>
    <row r="238" spans="1:7" x14ac:dyDescent="0.2">
      <c r="A238" s="3">
        <v>45089</v>
      </c>
      <c r="B238" s="4" t="s">
        <v>7</v>
      </c>
      <c r="C238" s="5">
        <v>16.987428706671199</v>
      </c>
      <c r="D238" s="5">
        <v>16.4087110153997</v>
      </c>
      <c r="E238" s="4">
        <v>2</v>
      </c>
      <c r="F238" s="4">
        <v>1</v>
      </c>
      <c r="G238" s="4">
        <v>3</v>
      </c>
    </row>
    <row r="239" spans="1:7" x14ac:dyDescent="0.2">
      <c r="A239" s="3">
        <v>45155</v>
      </c>
      <c r="B239" s="4" t="s">
        <v>8</v>
      </c>
      <c r="C239" s="5">
        <v>15.0932271573847</v>
      </c>
      <c r="D239" s="5">
        <v>15.605534886812499</v>
      </c>
      <c r="E239" s="4">
        <v>4</v>
      </c>
      <c r="F239" s="4">
        <v>14</v>
      </c>
      <c r="G239" s="4">
        <v>4</v>
      </c>
    </row>
    <row r="240" spans="1:7" x14ac:dyDescent="0.2">
      <c r="A240" s="3">
        <v>45187</v>
      </c>
      <c r="B240" s="4" t="s">
        <v>8</v>
      </c>
      <c r="C240" s="5">
        <v>12.6691067676158</v>
      </c>
      <c r="D240" s="5">
        <v>12.411071353032201</v>
      </c>
      <c r="E240" s="4">
        <v>3</v>
      </c>
      <c r="F240" s="4">
        <v>5</v>
      </c>
      <c r="G240" s="4">
        <v>3</v>
      </c>
    </row>
    <row r="241" spans="1:7" x14ac:dyDescent="0.2">
      <c r="A241" s="3">
        <v>45090</v>
      </c>
      <c r="B241" s="4" t="s">
        <v>8</v>
      </c>
      <c r="C241" s="5">
        <v>21.426216667398101</v>
      </c>
      <c r="D241" s="5">
        <v>15.780962394058299</v>
      </c>
      <c r="E241" s="4">
        <v>5</v>
      </c>
      <c r="F241" s="4">
        <v>14</v>
      </c>
      <c r="G241" s="4">
        <v>1</v>
      </c>
    </row>
    <row r="242" spans="1:7" x14ac:dyDescent="0.2">
      <c r="A242" s="3">
        <v>45227</v>
      </c>
      <c r="B242" s="4" t="s">
        <v>7</v>
      </c>
      <c r="C242" s="5">
        <v>13.6037396307837</v>
      </c>
      <c r="D242" s="5">
        <v>12.920992290964399</v>
      </c>
      <c r="E242" s="4">
        <v>4</v>
      </c>
      <c r="F242" s="4">
        <v>4</v>
      </c>
      <c r="G242" s="4">
        <v>3</v>
      </c>
    </row>
    <row r="243" spans="1:7" x14ac:dyDescent="0.2">
      <c r="A243" s="3">
        <v>45229</v>
      </c>
      <c r="B243" s="4" t="s">
        <v>8</v>
      </c>
      <c r="C243" s="5">
        <v>11.9426317792666</v>
      </c>
      <c r="D243" s="5">
        <v>15.1119298969961</v>
      </c>
      <c r="E243" s="4">
        <v>3</v>
      </c>
      <c r="F243" s="4">
        <v>1</v>
      </c>
      <c r="G243" s="4">
        <v>5</v>
      </c>
    </row>
    <row r="244" spans="1:7" x14ac:dyDescent="0.2">
      <c r="A244" s="3">
        <v>45213</v>
      </c>
      <c r="B244" s="4" t="s">
        <v>8</v>
      </c>
      <c r="C244" s="5">
        <v>12.252493639490201</v>
      </c>
      <c r="D244" s="5">
        <v>17.139588115991899</v>
      </c>
      <c r="E244" s="4">
        <v>3</v>
      </c>
      <c r="F244" s="4">
        <v>19</v>
      </c>
      <c r="G244" s="4">
        <v>3</v>
      </c>
    </row>
    <row r="245" spans="1:7" x14ac:dyDescent="0.2">
      <c r="A245" s="3">
        <v>44936</v>
      </c>
      <c r="B245" s="4" t="s">
        <v>7</v>
      </c>
      <c r="C245" s="5">
        <v>22.432877597085099</v>
      </c>
      <c r="D245" s="5">
        <v>18.0770219359195</v>
      </c>
      <c r="E245" s="4">
        <v>3</v>
      </c>
      <c r="F245" s="4">
        <v>8</v>
      </c>
      <c r="G245" s="4">
        <v>2</v>
      </c>
    </row>
    <row r="246" spans="1:7" x14ac:dyDescent="0.2">
      <c r="A246" s="3">
        <v>45121</v>
      </c>
      <c r="B246" s="4" t="s">
        <v>8</v>
      </c>
      <c r="C246" s="5">
        <v>18.399851796472099</v>
      </c>
      <c r="D246" s="5">
        <v>13.2050015428806</v>
      </c>
      <c r="E246" s="4">
        <v>4</v>
      </c>
      <c r="F246" s="4">
        <v>15</v>
      </c>
      <c r="G246" s="4">
        <v>1</v>
      </c>
    </row>
    <row r="247" spans="1:7" x14ac:dyDescent="0.2">
      <c r="A247" s="3">
        <v>45044</v>
      </c>
      <c r="B247" s="4" t="s">
        <v>7</v>
      </c>
      <c r="C247" s="5">
        <v>20.832749382079498</v>
      </c>
      <c r="D247" s="5">
        <v>16.410498769703398</v>
      </c>
      <c r="E247" s="4">
        <v>5</v>
      </c>
      <c r="F247" s="4">
        <v>15</v>
      </c>
      <c r="G247" s="4">
        <v>2</v>
      </c>
    </row>
    <row r="248" spans="1:7" x14ac:dyDescent="0.2">
      <c r="A248" s="3">
        <v>45196</v>
      </c>
      <c r="B248" s="4" t="s">
        <v>7</v>
      </c>
      <c r="C248" s="5">
        <v>12.7625273444195</v>
      </c>
      <c r="D248" s="5">
        <v>9.9863709284476005</v>
      </c>
      <c r="E248" s="4">
        <v>3</v>
      </c>
      <c r="F248" s="4">
        <v>9</v>
      </c>
      <c r="G248" s="4">
        <v>2</v>
      </c>
    </row>
    <row r="249" spans="1:7" x14ac:dyDescent="0.2">
      <c r="A249" s="3">
        <v>45006</v>
      </c>
      <c r="B249" s="4" t="s">
        <v>8</v>
      </c>
      <c r="C249" s="5">
        <v>11.6733353837131</v>
      </c>
      <c r="D249" s="5">
        <v>10.278096125239299</v>
      </c>
      <c r="E249" s="4">
        <v>5</v>
      </c>
      <c r="F249" s="4">
        <v>9</v>
      </c>
      <c r="G249" s="4">
        <v>5</v>
      </c>
    </row>
    <row r="250" spans="1:7" x14ac:dyDescent="0.2">
      <c r="A250" s="3">
        <v>45019</v>
      </c>
      <c r="B250" s="4" t="s">
        <v>7</v>
      </c>
      <c r="C250" s="5">
        <v>14.882727120140601</v>
      </c>
      <c r="D250" s="5">
        <v>11.1144950261529</v>
      </c>
      <c r="E250" s="4">
        <v>3</v>
      </c>
      <c r="F250" s="4">
        <v>10</v>
      </c>
      <c r="G250" s="4">
        <v>1</v>
      </c>
    </row>
    <row r="251" spans="1:7" x14ac:dyDescent="0.2">
      <c r="A251" s="3">
        <v>45192</v>
      </c>
      <c r="B251" s="4" t="s">
        <v>7</v>
      </c>
      <c r="C251" s="5">
        <v>10.2024908554805</v>
      </c>
      <c r="D251" s="5">
        <v>15.524733249273201</v>
      </c>
      <c r="E251" s="4">
        <v>3</v>
      </c>
      <c r="F251" s="4">
        <v>20</v>
      </c>
      <c r="G251" s="4">
        <v>1</v>
      </c>
    </row>
    <row r="252" spans="1:7" x14ac:dyDescent="0.2">
      <c r="A252" s="3">
        <v>45258</v>
      </c>
      <c r="B252" s="4" t="s">
        <v>8</v>
      </c>
      <c r="C252" s="5">
        <v>22.3695580228325</v>
      </c>
      <c r="D252" s="5">
        <v>17.3399006534267</v>
      </c>
      <c r="E252" s="4">
        <v>4</v>
      </c>
      <c r="F252" s="4">
        <v>9</v>
      </c>
      <c r="G252" s="4">
        <v>1</v>
      </c>
    </row>
    <row r="253" spans="1:7" x14ac:dyDescent="0.2">
      <c r="A253" s="3">
        <v>45276</v>
      </c>
      <c r="B253" s="4" t="s">
        <v>7</v>
      </c>
      <c r="C253" s="5">
        <v>15.4589309735274</v>
      </c>
      <c r="D253" s="5">
        <v>13.6896255937794</v>
      </c>
      <c r="E253" s="4">
        <v>3</v>
      </c>
      <c r="F253" s="4">
        <v>3</v>
      </c>
      <c r="G253" s="4">
        <v>1</v>
      </c>
    </row>
    <row r="254" spans="1:7" x14ac:dyDescent="0.2">
      <c r="A254" s="3">
        <v>45287</v>
      </c>
      <c r="B254" s="4" t="s">
        <v>7</v>
      </c>
      <c r="C254" s="5">
        <v>26.0610780985063</v>
      </c>
      <c r="D254" s="5">
        <v>17.547493797688201</v>
      </c>
      <c r="E254" s="4">
        <v>3</v>
      </c>
      <c r="F254" s="4">
        <v>20</v>
      </c>
      <c r="G254" s="4">
        <v>1</v>
      </c>
    </row>
    <row r="255" spans="1:7" x14ac:dyDescent="0.2">
      <c r="A255" s="3">
        <v>45183</v>
      </c>
      <c r="B255" s="4" t="s">
        <v>8</v>
      </c>
      <c r="C255" s="5">
        <v>15.516232630275599</v>
      </c>
      <c r="D255" s="5">
        <v>13.933968741826799</v>
      </c>
      <c r="E255" s="4">
        <v>3</v>
      </c>
      <c r="F255" s="4">
        <v>11</v>
      </c>
      <c r="G255" s="4">
        <v>5</v>
      </c>
    </row>
    <row r="256" spans="1:7" x14ac:dyDescent="0.2">
      <c r="A256" s="3">
        <v>45059</v>
      </c>
      <c r="B256" s="4" t="s">
        <v>8</v>
      </c>
      <c r="C256" s="5">
        <v>11.240315017023001</v>
      </c>
      <c r="D256" s="5">
        <v>15.045733601965001</v>
      </c>
      <c r="E256" s="4">
        <v>5</v>
      </c>
      <c r="F256" s="4">
        <v>6</v>
      </c>
      <c r="G256" s="4">
        <v>3</v>
      </c>
    </row>
    <row r="257" spans="1:7" x14ac:dyDescent="0.2">
      <c r="A257" s="3">
        <v>45202</v>
      </c>
      <c r="B257" s="4" t="s">
        <v>8</v>
      </c>
      <c r="C257" s="5">
        <v>15.7578829635669</v>
      </c>
      <c r="D257" s="5">
        <v>8.1179702546868704</v>
      </c>
      <c r="E257" s="4">
        <v>4</v>
      </c>
      <c r="F257" s="4">
        <v>2</v>
      </c>
      <c r="G257" s="4">
        <v>2</v>
      </c>
    </row>
    <row r="258" spans="1:7" x14ac:dyDescent="0.2">
      <c r="A258" s="3">
        <v>45190</v>
      </c>
      <c r="B258" s="4" t="s">
        <v>7</v>
      </c>
      <c r="C258" s="5">
        <v>7.6334555745933104</v>
      </c>
      <c r="D258" s="5">
        <v>10.371355750410499</v>
      </c>
      <c r="E258" s="4">
        <v>3</v>
      </c>
      <c r="F258" s="4">
        <v>7</v>
      </c>
      <c r="G258" s="4">
        <v>1</v>
      </c>
    </row>
    <row r="259" spans="1:7" x14ac:dyDescent="0.2">
      <c r="A259" s="3">
        <v>45097</v>
      </c>
      <c r="B259" s="4" t="s">
        <v>8</v>
      </c>
      <c r="C259" s="5">
        <v>20.6461652671906</v>
      </c>
      <c r="D259" s="5">
        <v>17.008002809339899</v>
      </c>
      <c r="E259" s="4">
        <v>4</v>
      </c>
      <c r="F259" s="4">
        <v>18</v>
      </c>
      <c r="G259" s="4">
        <v>3</v>
      </c>
    </row>
    <row r="260" spans="1:7" x14ac:dyDescent="0.2">
      <c r="A260" s="3">
        <v>44927</v>
      </c>
      <c r="B260" s="4" t="s">
        <v>7</v>
      </c>
      <c r="C260" s="5">
        <v>10.221909714073099</v>
      </c>
      <c r="D260" s="5">
        <v>12.3219200052316</v>
      </c>
      <c r="E260" s="4">
        <v>4</v>
      </c>
      <c r="F260" s="4">
        <v>2</v>
      </c>
      <c r="G260" s="4">
        <v>3</v>
      </c>
    </row>
    <row r="261" spans="1:7" x14ac:dyDescent="0.2">
      <c r="A261" s="3">
        <v>45239</v>
      </c>
      <c r="B261" s="4" t="s">
        <v>7</v>
      </c>
      <c r="C261" s="5">
        <v>17.387317026714701</v>
      </c>
      <c r="D261" s="5">
        <v>11.623326681796099</v>
      </c>
      <c r="E261" s="4">
        <v>4</v>
      </c>
      <c r="F261" s="4">
        <v>17</v>
      </c>
      <c r="G261" s="4">
        <v>2</v>
      </c>
    </row>
    <row r="262" spans="1:7" x14ac:dyDescent="0.2">
      <c r="A262" s="3">
        <v>44990</v>
      </c>
      <c r="B262" s="4" t="s">
        <v>7</v>
      </c>
      <c r="C262" s="5">
        <v>11.536534764211</v>
      </c>
      <c r="D262" s="5">
        <v>16.136270958977299</v>
      </c>
      <c r="E262" s="4">
        <v>5</v>
      </c>
      <c r="F262" s="4">
        <v>11</v>
      </c>
      <c r="G262" s="4">
        <v>5</v>
      </c>
    </row>
    <row r="263" spans="1:7" x14ac:dyDescent="0.2">
      <c r="A263" s="3">
        <v>45210</v>
      </c>
      <c r="B263" s="4" t="s">
        <v>7</v>
      </c>
      <c r="C263" s="5">
        <v>12.970237321969099</v>
      </c>
      <c r="D263" s="5">
        <v>13.1512748022029</v>
      </c>
      <c r="E263" s="4">
        <v>5</v>
      </c>
      <c r="F263" s="4">
        <v>12</v>
      </c>
      <c r="G263" s="4">
        <v>4</v>
      </c>
    </row>
    <row r="264" spans="1:7" x14ac:dyDescent="0.2">
      <c r="A264" s="3">
        <v>45047</v>
      </c>
      <c r="B264" s="4" t="s">
        <v>7</v>
      </c>
      <c r="C264" s="5">
        <v>15.379366329965499</v>
      </c>
      <c r="D264" s="5">
        <v>17.243524077586098</v>
      </c>
      <c r="E264" s="4">
        <v>3</v>
      </c>
      <c r="F264" s="4">
        <v>19</v>
      </c>
      <c r="G264" s="4">
        <v>4</v>
      </c>
    </row>
    <row r="265" spans="1:7" x14ac:dyDescent="0.2">
      <c r="A265" s="3">
        <v>45033</v>
      </c>
      <c r="B265" s="4" t="s">
        <v>7</v>
      </c>
      <c r="C265" s="5">
        <v>8.4878061793328605</v>
      </c>
      <c r="D265" s="5">
        <v>10.1161532668758</v>
      </c>
      <c r="E265" s="4">
        <v>3</v>
      </c>
      <c r="F265" s="4">
        <v>7</v>
      </c>
      <c r="G265" s="4">
        <v>3</v>
      </c>
    </row>
    <row r="266" spans="1:7" x14ac:dyDescent="0.2">
      <c r="A266" s="3">
        <v>45101</v>
      </c>
      <c r="B266" s="4" t="s">
        <v>7</v>
      </c>
      <c r="C266" s="5">
        <v>12.873715924303401</v>
      </c>
      <c r="D266" s="5">
        <v>15.3460638391181</v>
      </c>
      <c r="E266" s="4">
        <v>4</v>
      </c>
      <c r="F266" s="4">
        <v>20</v>
      </c>
      <c r="G266" s="4">
        <v>2</v>
      </c>
    </row>
    <row r="267" spans="1:7" x14ac:dyDescent="0.2">
      <c r="A267" s="3">
        <v>45130</v>
      </c>
      <c r="B267" s="4" t="s">
        <v>8</v>
      </c>
      <c r="C267" s="5">
        <v>16.376108409017601</v>
      </c>
      <c r="D267" s="5">
        <v>14.694386285092</v>
      </c>
      <c r="E267" s="4">
        <v>2</v>
      </c>
      <c r="F267" s="4">
        <v>6</v>
      </c>
      <c r="G267" s="4">
        <v>4</v>
      </c>
    </row>
    <row r="268" spans="1:7" x14ac:dyDescent="0.2">
      <c r="A268" s="3">
        <v>45091</v>
      </c>
      <c r="B268" s="4" t="s">
        <v>8</v>
      </c>
      <c r="C268" s="5">
        <v>15.816205651965801</v>
      </c>
      <c r="D268" s="5">
        <v>15.4439708080715</v>
      </c>
      <c r="E268" s="4">
        <v>2</v>
      </c>
      <c r="F268" s="4">
        <v>1</v>
      </c>
      <c r="G268" s="4">
        <v>3</v>
      </c>
    </row>
    <row r="269" spans="1:7" x14ac:dyDescent="0.2">
      <c r="A269" s="3">
        <v>45231</v>
      </c>
      <c r="B269" s="4" t="s">
        <v>7</v>
      </c>
      <c r="C269" s="5">
        <v>16.284929311019699</v>
      </c>
      <c r="D269" s="5">
        <v>12.9490594718488</v>
      </c>
      <c r="E269" s="4">
        <v>5</v>
      </c>
      <c r="F269" s="4">
        <v>17</v>
      </c>
      <c r="G269" s="4">
        <v>5</v>
      </c>
    </row>
    <row r="270" spans="1:7" x14ac:dyDescent="0.2">
      <c r="A270" s="3">
        <v>45046</v>
      </c>
      <c r="B270" s="4" t="s">
        <v>7</v>
      </c>
      <c r="C270" s="5">
        <v>16.779977756651501</v>
      </c>
      <c r="D270" s="5">
        <v>12.583185708851101</v>
      </c>
      <c r="E270" s="4">
        <v>5</v>
      </c>
      <c r="F270" s="4">
        <v>11</v>
      </c>
      <c r="G270" s="4">
        <v>4</v>
      </c>
    </row>
    <row r="271" spans="1:7" x14ac:dyDescent="0.2">
      <c r="A271" s="3">
        <v>44970</v>
      </c>
      <c r="B271" s="4" t="s">
        <v>8</v>
      </c>
      <c r="C271" s="5">
        <v>22.065370288643098</v>
      </c>
      <c r="D271" s="5">
        <v>18.885335667289201</v>
      </c>
      <c r="E271" s="4">
        <v>4</v>
      </c>
      <c r="F271" s="4">
        <v>18</v>
      </c>
      <c r="G271" s="4">
        <v>3</v>
      </c>
    </row>
    <row r="272" spans="1:7" x14ac:dyDescent="0.2">
      <c r="A272" s="3">
        <v>45238</v>
      </c>
      <c r="B272" s="4" t="s">
        <v>7</v>
      </c>
      <c r="C272" s="5">
        <v>13.7206366445331</v>
      </c>
      <c r="D272" s="5">
        <v>14.106328648840501</v>
      </c>
      <c r="E272" s="4">
        <v>5</v>
      </c>
      <c r="F272" s="4">
        <v>17</v>
      </c>
      <c r="G272" s="4">
        <v>3</v>
      </c>
    </row>
    <row r="273" spans="1:7" x14ac:dyDescent="0.2">
      <c r="A273" s="3">
        <v>45082</v>
      </c>
      <c r="B273" s="4" t="s">
        <v>8</v>
      </c>
      <c r="C273" s="5">
        <v>11.2820689244103</v>
      </c>
      <c r="D273" s="5">
        <v>8.8369622790466007</v>
      </c>
      <c r="E273" s="4">
        <v>4</v>
      </c>
      <c r="F273" s="4">
        <v>7</v>
      </c>
      <c r="G273" s="4">
        <v>1</v>
      </c>
    </row>
    <row r="274" spans="1:7" x14ac:dyDescent="0.2">
      <c r="A274" s="3">
        <v>45133</v>
      </c>
      <c r="B274" s="4" t="s">
        <v>8</v>
      </c>
      <c r="C274" s="5">
        <v>19.5815818760775</v>
      </c>
      <c r="D274" s="5">
        <v>14.952725486722001</v>
      </c>
      <c r="E274" s="4">
        <v>5</v>
      </c>
      <c r="F274" s="4">
        <v>17</v>
      </c>
      <c r="G274" s="4">
        <v>5</v>
      </c>
    </row>
    <row r="275" spans="1:7" x14ac:dyDescent="0.2">
      <c r="A275" s="3">
        <v>45034</v>
      </c>
      <c r="B275" s="4" t="s">
        <v>8</v>
      </c>
      <c r="C275" s="5">
        <v>15.005116530509801</v>
      </c>
      <c r="D275" s="5">
        <v>14.476589567222501</v>
      </c>
      <c r="E275" s="4">
        <v>5</v>
      </c>
      <c r="F275" s="4">
        <v>20</v>
      </c>
      <c r="G275" s="4">
        <v>1</v>
      </c>
    </row>
    <row r="276" spans="1:7" x14ac:dyDescent="0.2">
      <c r="A276" s="3">
        <v>45177</v>
      </c>
      <c r="B276" s="4" t="s">
        <v>7</v>
      </c>
      <c r="C276" s="5">
        <v>20.509245674475999</v>
      </c>
      <c r="D276" s="5">
        <v>9.1898445612457191</v>
      </c>
      <c r="E276" s="4">
        <v>4</v>
      </c>
      <c r="F276" s="4">
        <v>9</v>
      </c>
      <c r="G276" s="4">
        <v>2</v>
      </c>
    </row>
    <row r="277" spans="1:7" x14ac:dyDescent="0.2">
      <c r="A277" s="3">
        <v>45260</v>
      </c>
      <c r="B277" s="4" t="s">
        <v>7</v>
      </c>
      <c r="C277" s="5">
        <v>13.231051737131599</v>
      </c>
      <c r="D277" s="5">
        <v>15.9680657213444</v>
      </c>
      <c r="E277" s="4">
        <v>3</v>
      </c>
      <c r="F277" s="4">
        <v>17</v>
      </c>
      <c r="G277" s="4">
        <v>1</v>
      </c>
    </row>
    <row r="278" spans="1:7" x14ac:dyDescent="0.2">
      <c r="A278" s="3">
        <v>45056</v>
      </c>
      <c r="B278" s="4" t="s">
        <v>8</v>
      </c>
      <c r="C278" s="5">
        <v>17.099529847786702</v>
      </c>
      <c r="D278" s="5">
        <v>14.4222672389342</v>
      </c>
      <c r="E278" s="4">
        <v>2</v>
      </c>
      <c r="F278" s="4">
        <v>20</v>
      </c>
      <c r="G278" s="4">
        <v>1</v>
      </c>
    </row>
    <row r="279" spans="1:7" x14ac:dyDescent="0.2">
      <c r="A279" s="3">
        <v>45219</v>
      </c>
      <c r="B279" s="4" t="s">
        <v>8</v>
      </c>
      <c r="C279" s="5">
        <v>15.6998915614206</v>
      </c>
      <c r="D279" s="5">
        <v>15.1460960538134</v>
      </c>
      <c r="E279" s="4">
        <v>4</v>
      </c>
      <c r="F279" s="4">
        <v>8</v>
      </c>
      <c r="G279" s="4">
        <v>4</v>
      </c>
    </row>
    <row r="280" spans="1:7" x14ac:dyDescent="0.2">
      <c r="A280" s="3">
        <v>44946</v>
      </c>
      <c r="B280" s="4" t="s">
        <v>8</v>
      </c>
      <c r="C280" s="5">
        <v>9.0349010424950098</v>
      </c>
      <c r="D280" s="5">
        <v>15.0727305421733</v>
      </c>
      <c r="E280" s="4">
        <v>3</v>
      </c>
      <c r="F280" s="4">
        <v>17</v>
      </c>
      <c r="G280" s="4">
        <v>3</v>
      </c>
    </row>
    <row r="281" spans="1:7" x14ac:dyDescent="0.2">
      <c r="A281" s="3">
        <v>45208</v>
      </c>
      <c r="B281" s="4" t="s">
        <v>8</v>
      </c>
      <c r="C281" s="5">
        <v>14.8073432015691</v>
      </c>
      <c r="D281" s="5">
        <v>13.475575098213501</v>
      </c>
      <c r="E281" s="4">
        <v>3</v>
      </c>
      <c r="F281" s="4">
        <v>7</v>
      </c>
      <c r="G281" s="4">
        <v>5</v>
      </c>
    </row>
    <row r="282" spans="1:7" x14ac:dyDescent="0.2">
      <c r="A282" s="3">
        <v>45211</v>
      </c>
      <c r="B282" s="4" t="s">
        <v>8</v>
      </c>
      <c r="C282" s="5">
        <v>17.056758672625602</v>
      </c>
      <c r="D282" s="5">
        <v>12.2775744273328</v>
      </c>
      <c r="E282" s="4">
        <v>3</v>
      </c>
      <c r="F282" s="4">
        <v>1</v>
      </c>
      <c r="G282" s="4">
        <v>1</v>
      </c>
    </row>
    <row r="283" spans="1:7" x14ac:dyDescent="0.2">
      <c r="A283" s="3">
        <v>44927</v>
      </c>
      <c r="B283" s="4" t="s">
        <v>7</v>
      </c>
      <c r="C283" s="5">
        <v>18.331065337260501</v>
      </c>
      <c r="D283" s="5">
        <v>10.121563158584101</v>
      </c>
      <c r="E283" s="4">
        <v>3</v>
      </c>
      <c r="F283" s="4">
        <v>13</v>
      </c>
      <c r="G283" s="4">
        <v>5</v>
      </c>
    </row>
    <row r="284" spans="1:7" x14ac:dyDescent="0.2">
      <c r="A284" s="3">
        <v>45045</v>
      </c>
      <c r="B284" s="4" t="s">
        <v>8</v>
      </c>
      <c r="C284" s="5">
        <v>13.7930084080727</v>
      </c>
      <c r="D284" s="5">
        <v>14.9631448319368</v>
      </c>
      <c r="E284" s="4">
        <v>5</v>
      </c>
      <c r="F284" s="4">
        <v>19</v>
      </c>
      <c r="G284" s="4">
        <v>1</v>
      </c>
    </row>
    <row r="285" spans="1:7" x14ac:dyDescent="0.2">
      <c r="A285" s="3">
        <v>44961</v>
      </c>
      <c r="B285" s="4" t="s">
        <v>7</v>
      </c>
      <c r="C285" s="5">
        <v>16.381092250586601</v>
      </c>
      <c r="D285" s="5">
        <v>18.042734693664901</v>
      </c>
      <c r="E285" s="4">
        <v>5</v>
      </c>
      <c r="F285" s="4">
        <v>19</v>
      </c>
      <c r="G285" s="4">
        <v>2</v>
      </c>
    </row>
    <row r="286" spans="1:7" x14ac:dyDescent="0.2">
      <c r="A286" s="3">
        <v>45124</v>
      </c>
      <c r="B286" s="4" t="s">
        <v>8</v>
      </c>
      <c r="C286" s="5">
        <v>10.0665166873281</v>
      </c>
      <c r="D286" s="5">
        <v>7.2920266539287502</v>
      </c>
      <c r="E286" s="4">
        <v>4</v>
      </c>
      <c r="F286" s="4">
        <v>17</v>
      </c>
      <c r="G286" s="4">
        <v>1</v>
      </c>
    </row>
    <row r="287" spans="1:7" x14ac:dyDescent="0.2">
      <c r="A287" s="3">
        <v>45171</v>
      </c>
      <c r="B287" s="4" t="s">
        <v>7</v>
      </c>
      <c r="C287" s="5">
        <v>11.0239561002388</v>
      </c>
      <c r="D287" s="5">
        <v>12.38286670938</v>
      </c>
      <c r="E287" s="4">
        <v>5</v>
      </c>
      <c r="F287" s="4">
        <v>13</v>
      </c>
      <c r="G287" s="4">
        <v>4</v>
      </c>
    </row>
    <row r="288" spans="1:7" x14ac:dyDescent="0.2">
      <c r="A288" s="3">
        <v>44985</v>
      </c>
      <c r="B288" s="4" t="s">
        <v>7</v>
      </c>
      <c r="C288" s="5">
        <v>20.9241074524822</v>
      </c>
      <c r="D288" s="5">
        <v>13.157098775687199</v>
      </c>
      <c r="E288" s="4">
        <v>4</v>
      </c>
      <c r="F288" s="4">
        <v>16</v>
      </c>
      <c r="G288" s="4">
        <v>3</v>
      </c>
    </row>
    <row r="289" spans="1:7" x14ac:dyDescent="0.2">
      <c r="A289" s="3">
        <v>45251</v>
      </c>
      <c r="B289" s="4" t="s">
        <v>7</v>
      </c>
      <c r="C289" s="5">
        <v>19.294158603242298</v>
      </c>
      <c r="D289" s="5">
        <v>13.693274630996701</v>
      </c>
      <c r="E289" s="4">
        <v>3</v>
      </c>
      <c r="F289" s="4">
        <v>8</v>
      </c>
      <c r="G289" s="4">
        <v>2</v>
      </c>
    </row>
    <row r="290" spans="1:7" x14ac:dyDescent="0.2">
      <c r="A290" s="3">
        <v>45087</v>
      </c>
      <c r="B290" s="4" t="s">
        <v>7</v>
      </c>
      <c r="C290" s="5">
        <v>16.140495933867498</v>
      </c>
      <c r="D290" s="5">
        <v>16.519262814544899</v>
      </c>
      <c r="E290" s="4">
        <v>5</v>
      </c>
      <c r="F290" s="4">
        <v>19</v>
      </c>
      <c r="G290" s="4">
        <v>1</v>
      </c>
    </row>
    <row r="291" spans="1:7" x14ac:dyDescent="0.2">
      <c r="A291" s="3">
        <v>45105</v>
      </c>
      <c r="B291" s="4" t="s">
        <v>7</v>
      </c>
      <c r="C291" s="5">
        <v>10.6886502400897</v>
      </c>
      <c r="D291" s="5">
        <v>16.679256566181699</v>
      </c>
      <c r="E291" s="4">
        <v>5</v>
      </c>
      <c r="F291" s="4">
        <v>18</v>
      </c>
      <c r="G291" s="4">
        <v>5</v>
      </c>
    </row>
    <row r="292" spans="1:7" x14ac:dyDescent="0.2">
      <c r="A292" s="3">
        <v>45132</v>
      </c>
      <c r="B292" s="4" t="s">
        <v>7</v>
      </c>
      <c r="C292" s="5">
        <v>11.8959388748214</v>
      </c>
      <c r="D292" s="5">
        <v>13.451956657493801</v>
      </c>
      <c r="E292" s="4">
        <v>3</v>
      </c>
      <c r="F292" s="4">
        <v>1</v>
      </c>
      <c r="G292" s="4">
        <v>2</v>
      </c>
    </row>
    <row r="293" spans="1:7" x14ac:dyDescent="0.2">
      <c r="A293" s="3">
        <v>44938</v>
      </c>
      <c r="B293" s="4" t="s">
        <v>8</v>
      </c>
      <c r="C293" s="5">
        <v>16.753499532670599</v>
      </c>
      <c r="D293" s="5">
        <v>18.587890424085501</v>
      </c>
      <c r="E293" s="4">
        <v>4</v>
      </c>
      <c r="F293" s="4">
        <v>14</v>
      </c>
      <c r="G293" s="4">
        <v>2</v>
      </c>
    </row>
    <row r="294" spans="1:7" x14ac:dyDescent="0.2">
      <c r="A294" s="3">
        <v>45202</v>
      </c>
      <c r="B294" s="4" t="s">
        <v>7</v>
      </c>
      <c r="C294" s="5">
        <v>20.7053176215279</v>
      </c>
      <c r="D294" s="5">
        <v>15.587223724541101</v>
      </c>
      <c r="E294" s="4">
        <v>3</v>
      </c>
      <c r="F294" s="4">
        <v>19</v>
      </c>
      <c r="G294" s="4">
        <v>1</v>
      </c>
    </row>
    <row r="295" spans="1:7" x14ac:dyDescent="0.2">
      <c r="A295" s="3">
        <v>45107</v>
      </c>
      <c r="B295" s="4" t="s">
        <v>8</v>
      </c>
      <c r="C295" s="5">
        <v>12.424801048510499</v>
      </c>
      <c r="D295" s="5">
        <v>11.2637583530274</v>
      </c>
      <c r="E295" s="4">
        <v>3</v>
      </c>
      <c r="F295" s="4">
        <v>15</v>
      </c>
      <c r="G295" s="4">
        <v>2</v>
      </c>
    </row>
    <row r="296" spans="1:7" x14ac:dyDescent="0.2">
      <c r="A296" s="3">
        <v>45168</v>
      </c>
      <c r="B296" s="4" t="s">
        <v>7</v>
      </c>
      <c r="C296" s="5">
        <v>20.1785077429825</v>
      </c>
      <c r="D296" s="5">
        <v>16.7286951298079</v>
      </c>
      <c r="E296" s="4">
        <v>5</v>
      </c>
      <c r="F296" s="4">
        <v>18</v>
      </c>
      <c r="G296" s="4">
        <v>5</v>
      </c>
    </row>
    <row r="297" spans="1:7" x14ac:dyDescent="0.2">
      <c r="A297" s="3">
        <v>45142</v>
      </c>
      <c r="B297" s="4" t="s">
        <v>7</v>
      </c>
      <c r="C297" s="5">
        <v>10.653545202369701</v>
      </c>
      <c r="D297" s="5">
        <v>11.166486248239099</v>
      </c>
      <c r="E297" s="4">
        <v>5</v>
      </c>
      <c r="F297" s="4">
        <v>2</v>
      </c>
      <c r="G297" s="4">
        <v>2</v>
      </c>
    </row>
    <row r="298" spans="1:7" x14ac:dyDescent="0.2">
      <c r="A298" s="3">
        <v>45177</v>
      </c>
      <c r="B298" s="4" t="s">
        <v>8</v>
      </c>
      <c r="C298" s="5">
        <v>22.449799937716602</v>
      </c>
      <c r="D298" s="5">
        <v>15.1601436632673</v>
      </c>
      <c r="E298" s="4">
        <v>3</v>
      </c>
      <c r="F298" s="4">
        <v>17</v>
      </c>
      <c r="G298" s="4">
        <v>5</v>
      </c>
    </row>
    <row r="299" spans="1:7" x14ac:dyDescent="0.2">
      <c r="A299" s="3">
        <v>45225</v>
      </c>
      <c r="B299" s="4" t="s">
        <v>7</v>
      </c>
      <c r="C299" s="5">
        <v>16.153649760438299</v>
      </c>
      <c r="D299" s="5">
        <v>17.474562880150899</v>
      </c>
      <c r="E299" s="4">
        <v>5</v>
      </c>
      <c r="F299" s="4">
        <v>18</v>
      </c>
      <c r="G299" s="4">
        <v>1</v>
      </c>
    </row>
    <row r="300" spans="1:7" x14ac:dyDescent="0.2">
      <c r="A300" s="3">
        <v>45052</v>
      </c>
      <c r="B300" s="4" t="s">
        <v>8</v>
      </c>
      <c r="C300" s="5">
        <v>10.4064310594195</v>
      </c>
      <c r="D300" s="5">
        <v>14.4915402603456</v>
      </c>
      <c r="E300" s="4">
        <v>3</v>
      </c>
      <c r="F300" s="4">
        <v>6</v>
      </c>
      <c r="G300" s="4">
        <v>3</v>
      </c>
    </row>
    <row r="301" spans="1:7" x14ac:dyDescent="0.2">
      <c r="A301" s="3">
        <v>45143</v>
      </c>
      <c r="B301" s="4" t="s">
        <v>8</v>
      </c>
      <c r="C301" s="5">
        <v>20.314814420961799</v>
      </c>
      <c r="D301" s="5">
        <v>15.7541505834115</v>
      </c>
      <c r="E301" s="4">
        <v>4</v>
      </c>
      <c r="F301" s="4">
        <v>19</v>
      </c>
      <c r="G301" s="4">
        <v>2</v>
      </c>
    </row>
    <row r="302" spans="1:7" x14ac:dyDescent="0.2">
      <c r="A302" s="3">
        <v>45232</v>
      </c>
      <c r="B302" s="4" t="s">
        <v>8</v>
      </c>
      <c r="C302" s="5">
        <v>16.585502494539</v>
      </c>
      <c r="D302" s="5">
        <v>11.1569140596085</v>
      </c>
      <c r="E302" s="4">
        <v>3</v>
      </c>
      <c r="F302" s="4">
        <v>4</v>
      </c>
      <c r="G302" s="4">
        <v>3</v>
      </c>
    </row>
    <row r="303" spans="1:7" x14ac:dyDescent="0.2">
      <c r="A303" s="3">
        <v>45211</v>
      </c>
      <c r="B303" s="4" t="s">
        <v>8</v>
      </c>
      <c r="C303" s="5">
        <v>12.719909479901499</v>
      </c>
      <c r="D303" s="5">
        <v>11.1615037553041</v>
      </c>
      <c r="E303" s="4">
        <v>3</v>
      </c>
      <c r="F303" s="4">
        <v>1</v>
      </c>
      <c r="G303" s="4">
        <v>5</v>
      </c>
    </row>
    <row r="304" spans="1:7" x14ac:dyDescent="0.2">
      <c r="A304" s="3">
        <v>45111</v>
      </c>
      <c r="B304" s="4" t="s">
        <v>7</v>
      </c>
      <c r="C304" s="5">
        <v>15.3736468025616</v>
      </c>
      <c r="D304" s="5">
        <v>12.3924749511204</v>
      </c>
      <c r="E304" s="4">
        <v>4</v>
      </c>
      <c r="F304" s="4">
        <v>8</v>
      </c>
      <c r="G304" s="4">
        <v>2</v>
      </c>
    </row>
    <row r="305" spans="1:7" x14ac:dyDescent="0.2">
      <c r="A305" s="3">
        <v>44965</v>
      </c>
      <c r="B305" s="4" t="s">
        <v>7</v>
      </c>
      <c r="C305" s="5">
        <v>19.305185132716701</v>
      </c>
      <c r="D305" s="5">
        <v>13.240570585719601</v>
      </c>
      <c r="E305" s="4">
        <v>3</v>
      </c>
      <c r="F305" s="4">
        <v>7</v>
      </c>
      <c r="G305" s="4">
        <v>4</v>
      </c>
    </row>
    <row r="306" spans="1:7" x14ac:dyDescent="0.2">
      <c r="A306" s="3">
        <v>45149</v>
      </c>
      <c r="B306" s="4" t="s">
        <v>8</v>
      </c>
      <c r="C306" s="5">
        <v>16.989549203017901</v>
      </c>
      <c r="D306" s="5">
        <v>13.886616466739801</v>
      </c>
      <c r="E306" s="4">
        <v>4</v>
      </c>
      <c r="F306" s="4">
        <v>3</v>
      </c>
      <c r="G306" s="4">
        <v>3</v>
      </c>
    </row>
    <row r="307" spans="1:7" x14ac:dyDescent="0.2">
      <c r="A307" s="3">
        <v>45110</v>
      </c>
      <c r="B307" s="4" t="s">
        <v>7</v>
      </c>
      <c r="C307" s="5">
        <v>21.058663691654399</v>
      </c>
      <c r="D307" s="5">
        <v>14.4667673951854</v>
      </c>
      <c r="E307" s="4">
        <v>4</v>
      </c>
      <c r="F307" s="4">
        <v>10</v>
      </c>
      <c r="G307" s="4">
        <v>2</v>
      </c>
    </row>
    <row r="308" spans="1:7" x14ac:dyDescent="0.2">
      <c r="A308" s="3">
        <v>45104</v>
      </c>
      <c r="B308" s="4" t="s">
        <v>7</v>
      </c>
      <c r="C308" s="5">
        <v>13.638832447894201</v>
      </c>
      <c r="D308" s="5">
        <v>13.1674539797813</v>
      </c>
      <c r="E308" s="4">
        <v>4</v>
      </c>
      <c r="F308" s="4">
        <v>10</v>
      </c>
      <c r="G308" s="4">
        <v>3</v>
      </c>
    </row>
    <row r="309" spans="1:7" x14ac:dyDescent="0.2">
      <c r="A309" s="3">
        <v>45220</v>
      </c>
      <c r="B309" s="4" t="s">
        <v>8</v>
      </c>
      <c r="C309" s="5">
        <v>15.7042143055821</v>
      </c>
      <c r="D309" s="5">
        <v>16.856043716951898</v>
      </c>
      <c r="E309" s="4">
        <v>3</v>
      </c>
      <c r="F309" s="4">
        <v>19</v>
      </c>
      <c r="G309" s="4">
        <v>2</v>
      </c>
    </row>
    <row r="310" spans="1:7" x14ac:dyDescent="0.2">
      <c r="A310" s="3">
        <v>45266</v>
      </c>
      <c r="B310" s="4" t="s">
        <v>7</v>
      </c>
      <c r="C310" s="5">
        <v>15.273548690585001</v>
      </c>
      <c r="D310" s="5">
        <v>13.316822807974001</v>
      </c>
      <c r="E310" s="4">
        <v>3</v>
      </c>
      <c r="F310" s="4">
        <v>14</v>
      </c>
      <c r="G310" s="4">
        <v>1</v>
      </c>
    </row>
    <row r="311" spans="1:7" x14ac:dyDescent="0.2">
      <c r="A311" s="3">
        <v>45077</v>
      </c>
      <c r="B311" s="4" t="s">
        <v>8</v>
      </c>
      <c r="C311" s="5">
        <v>11.898903673783099</v>
      </c>
      <c r="D311" s="5">
        <v>11.012378368812101</v>
      </c>
      <c r="E311" s="4">
        <v>5</v>
      </c>
      <c r="F311" s="4">
        <v>2</v>
      </c>
      <c r="G311" s="4">
        <v>3</v>
      </c>
    </row>
    <row r="312" spans="1:7" x14ac:dyDescent="0.2">
      <c r="A312" s="3">
        <v>45052</v>
      </c>
      <c r="B312" s="4" t="s">
        <v>8</v>
      </c>
      <c r="C312" s="5">
        <v>3.8911593983863901</v>
      </c>
      <c r="D312" s="5">
        <v>10.017001080165899</v>
      </c>
      <c r="E312" s="4">
        <v>5</v>
      </c>
      <c r="F312" s="4">
        <v>1</v>
      </c>
      <c r="G312" s="4">
        <v>4</v>
      </c>
    </row>
    <row r="313" spans="1:7" x14ac:dyDescent="0.2">
      <c r="A313" s="3">
        <v>45227</v>
      </c>
      <c r="B313" s="4" t="s">
        <v>7</v>
      </c>
      <c r="C313" s="5">
        <v>19.549388425993602</v>
      </c>
      <c r="D313" s="5">
        <v>18.738651022415802</v>
      </c>
      <c r="E313" s="4">
        <v>3</v>
      </c>
      <c r="F313" s="4">
        <v>18</v>
      </c>
      <c r="G313" s="4">
        <v>4</v>
      </c>
    </row>
    <row r="314" spans="1:7" x14ac:dyDescent="0.2">
      <c r="A314" s="3">
        <v>45234</v>
      </c>
      <c r="B314" s="4" t="s">
        <v>7</v>
      </c>
      <c r="C314" s="5">
        <v>10.412708174494</v>
      </c>
      <c r="D314" s="5">
        <v>12.668379203789</v>
      </c>
      <c r="E314" s="4">
        <v>4</v>
      </c>
      <c r="F314" s="4">
        <v>7</v>
      </c>
      <c r="G314" s="4">
        <v>5</v>
      </c>
    </row>
    <row r="315" spans="1:7" x14ac:dyDescent="0.2">
      <c r="A315" s="3">
        <v>45262</v>
      </c>
      <c r="B315" s="4" t="s">
        <v>7</v>
      </c>
      <c r="C315" s="5">
        <v>18.406754818000302</v>
      </c>
      <c r="D315" s="5">
        <v>14.898181097920199</v>
      </c>
      <c r="E315" s="4">
        <v>5</v>
      </c>
      <c r="F315" s="4">
        <v>8</v>
      </c>
      <c r="G315" s="4">
        <v>2</v>
      </c>
    </row>
    <row r="316" spans="1:7" x14ac:dyDescent="0.2">
      <c r="A316" s="3">
        <v>45160</v>
      </c>
      <c r="B316" s="4" t="s">
        <v>8</v>
      </c>
      <c r="C316" s="5">
        <v>16.652739403577201</v>
      </c>
      <c r="D316" s="5">
        <v>10.512733764444899</v>
      </c>
      <c r="E316" s="4">
        <v>2</v>
      </c>
      <c r="F316" s="4">
        <v>1</v>
      </c>
      <c r="G316" s="4">
        <v>3</v>
      </c>
    </row>
    <row r="317" spans="1:7" x14ac:dyDescent="0.2">
      <c r="A317" s="3">
        <v>44934</v>
      </c>
      <c r="B317" s="4" t="s">
        <v>8</v>
      </c>
      <c r="C317" s="5">
        <v>7.0105019208163801</v>
      </c>
      <c r="D317" s="5">
        <v>11.280425724683999</v>
      </c>
      <c r="E317" s="4">
        <v>5</v>
      </c>
      <c r="F317" s="4">
        <v>3</v>
      </c>
      <c r="G317" s="4">
        <v>5</v>
      </c>
    </row>
    <row r="318" spans="1:7" x14ac:dyDescent="0.2">
      <c r="A318" s="3">
        <v>45267</v>
      </c>
      <c r="B318" s="4" t="s">
        <v>7</v>
      </c>
      <c r="C318" s="5">
        <v>15.3409764856475</v>
      </c>
      <c r="D318" s="5">
        <v>16.702963772782201</v>
      </c>
      <c r="E318" s="4">
        <v>3</v>
      </c>
      <c r="F318" s="4">
        <v>8</v>
      </c>
      <c r="G318" s="4">
        <v>3</v>
      </c>
    </row>
    <row r="319" spans="1:7" x14ac:dyDescent="0.2">
      <c r="A319" s="3">
        <v>45055</v>
      </c>
      <c r="B319" s="4" t="s">
        <v>7</v>
      </c>
      <c r="C319" s="5">
        <v>14.8448666217033</v>
      </c>
      <c r="D319" s="5">
        <v>14.933722650571999</v>
      </c>
      <c r="E319" s="4">
        <v>5</v>
      </c>
      <c r="F319" s="4">
        <v>15</v>
      </c>
      <c r="G319" s="4">
        <v>2</v>
      </c>
    </row>
    <row r="320" spans="1:7" x14ac:dyDescent="0.2">
      <c r="A320" s="3">
        <v>45190</v>
      </c>
      <c r="B320" s="4" t="s">
        <v>7</v>
      </c>
      <c r="C320" s="5">
        <v>19.162083176244199</v>
      </c>
      <c r="D320" s="5">
        <v>11.5686776944464</v>
      </c>
      <c r="E320" s="4">
        <v>3</v>
      </c>
      <c r="F320" s="4">
        <v>5</v>
      </c>
      <c r="G320" s="4">
        <v>4</v>
      </c>
    </row>
    <row r="321" spans="1:7" x14ac:dyDescent="0.2">
      <c r="A321" s="3">
        <v>45083</v>
      </c>
      <c r="B321" s="4" t="s">
        <v>7</v>
      </c>
      <c r="C321" s="5">
        <v>13.9349284728162</v>
      </c>
      <c r="D321" s="5">
        <v>11.935721789272501</v>
      </c>
      <c r="E321" s="4">
        <v>2</v>
      </c>
      <c r="F321" s="4">
        <v>3</v>
      </c>
      <c r="G321" s="4">
        <v>1</v>
      </c>
    </row>
    <row r="322" spans="1:7" x14ac:dyDescent="0.2">
      <c r="A322" s="3">
        <v>45278</v>
      </c>
      <c r="B322" s="4" t="s">
        <v>8</v>
      </c>
      <c r="C322" s="5">
        <v>19.0484979824964</v>
      </c>
      <c r="D322" s="5">
        <v>18.852906084073599</v>
      </c>
      <c r="E322" s="4">
        <v>2</v>
      </c>
      <c r="F322" s="4">
        <v>19</v>
      </c>
      <c r="G322" s="4">
        <v>4</v>
      </c>
    </row>
    <row r="323" spans="1:7" x14ac:dyDescent="0.2">
      <c r="A323" s="3">
        <v>45284</v>
      </c>
      <c r="B323" s="4" t="s">
        <v>7</v>
      </c>
      <c r="C323" s="5">
        <v>14.2975785127185</v>
      </c>
      <c r="D323" s="5">
        <v>8.8093833328945603</v>
      </c>
      <c r="E323" s="4">
        <v>4</v>
      </c>
      <c r="F323" s="4">
        <v>1</v>
      </c>
      <c r="G323" s="4">
        <v>5</v>
      </c>
    </row>
    <row r="324" spans="1:7" x14ac:dyDescent="0.2">
      <c r="A324" s="3">
        <v>44931</v>
      </c>
      <c r="B324" s="4" t="s">
        <v>8</v>
      </c>
      <c r="C324" s="5">
        <v>9.5908896583832597</v>
      </c>
      <c r="D324" s="5">
        <v>7.9605922127176099</v>
      </c>
      <c r="E324" s="4">
        <v>4</v>
      </c>
      <c r="F324" s="4">
        <v>15</v>
      </c>
      <c r="G324" s="4">
        <v>1</v>
      </c>
    </row>
    <row r="325" spans="1:7" x14ac:dyDescent="0.2">
      <c r="A325" s="3">
        <v>45012</v>
      </c>
      <c r="B325" s="4" t="s">
        <v>8</v>
      </c>
      <c r="C325" s="5">
        <v>17.046193637842698</v>
      </c>
      <c r="D325" s="5">
        <v>14.130040194724501</v>
      </c>
      <c r="E325" s="4">
        <v>3</v>
      </c>
      <c r="F325" s="4">
        <v>8</v>
      </c>
      <c r="G325" s="4">
        <v>5</v>
      </c>
    </row>
    <row r="326" spans="1:7" x14ac:dyDescent="0.2">
      <c r="A326" s="3">
        <v>45101</v>
      </c>
      <c r="B326" s="4" t="s">
        <v>7</v>
      </c>
      <c r="C326" s="5">
        <v>16.496991309250198</v>
      </c>
      <c r="D326" s="5">
        <v>9.8675247867703</v>
      </c>
      <c r="E326" s="4">
        <v>5</v>
      </c>
      <c r="F326" s="4">
        <v>2</v>
      </c>
      <c r="G326" s="4">
        <v>2</v>
      </c>
    </row>
    <row r="327" spans="1:7" x14ac:dyDescent="0.2">
      <c r="A327" s="3">
        <v>45216</v>
      </c>
      <c r="B327" s="4" t="s">
        <v>7</v>
      </c>
      <c r="C327" s="5">
        <v>15.3929056936061</v>
      </c>
      <c r="D327" s="5">
        <v>12.535489086078099</v>
      </c>
      <c r="E327" s="4">
        <v>2</v>
      </c>
      <c r="F327" s="4">
        <v>3</v>
      </c>
      <c r="G327" s="4">
        <v>1</v>
      </c>
    </row>
    <row r="328" spans="1:7" x14ac:dyDescent="0.2">
      <c r="A328" s="3">
        <v>45119</v>
      </c>
      <c r="B328" s="4" t="s">
        <v>7</v>
      </c>
      <c r="C328" s="5">
        <v>14.57905543675</v>
      </c>
      <c r="D328" s="5">
        <v>10.534392134405</v>
      </c>
      <c r="E328" s="4">
        <v>4</v>
      </c>
      <c r="F328" s="4">
        <v>14</v>
      </c>
      <c r="G328" s="4">
        <v>5</v>
      </c>
    </row>
    <row r="329" spans="1:7" x14ac:dyDescent="0.2">
      <c r="A329" s="3">
        <v>45237</v>
      </c>
      <c r="B329" s="4" t="s">
        <v>8</v>
      </c>
      <c r="C329" s="5">
        <v>13.395831346981501</v>
      </c>
      <c r="D329" s="5">
        <v>15.4550598500935</v>
      </c>
      <c r="E329" s="4">
        <v>3</v>
      </c>
      <c r="F329" s="4">
        <v>14</v>
      </c>
      <c r="G329" s="4">
        <v>2</v>
      </c>
    </row>
    <row r="330" spans="1:7" x14ac:dyDescent="0.2">
      <c r="A330" s="3">
        <v>45045</v>
      </c>
      <c r="B330" s="4" t="s">
        <v>7</v>
      </c>
      <c r="C330" s="5">
        <v>6.3120599085260798</v>
      </c>
      <c r="D330" s="5">
        <v>9.7356556355500494</v>
      </c>
      <c r="E330" s="4">
        <v>3</v>
      </c>
      <c r="F330" s="4">
        <v>11</v>
      </c>
      <c r="G330" s="4">
        <v>4</v>
      </c>
    </row>
    <row r="331" spans="1:7" x14ac:dyDescent="0.2">
      <c r="A331" s="3">
        <v>45144</v>
      </c>
      <c r="B331" s="4" t="s">
        <v>7</v>
      </c>
      <c r="C331" s="5">
        <v>15.3141727546321</v>
      </c>
      <c r="D331" s="5">
        <v>16.2445672839217</v>
      </c>
      <c r="E331" s="4">
        <v>4</v>
      </c>
      <c r="F331" s="4">
        <v>16</v>
      </c>
      <c r="G331" s="4">
        <v>2</v>
      </c>
    </row>
    <row r="332" spans="1:7" x14ac:dyDescent="0.2">
      <c r="A332" s="3">
        <v>45040</v>
      </c>
      <c r="B332" s="4" t="s">
        <v>8</v>
      </c>
      <c r="C332" s="5">
        <v>14.9938766135765</v>
      </c>
      <c r="D332" s="5">
        <v>12.1448445790774</v>
      </c>
      <c r="E332" s="4">
        <v>3</v>
      </c>
      <c r="F332" s="4">
        <v>4</v>
      </c>
      <c r="G332" s="4">
        <v>3</v>
      </c>
    </row>
    <row r="333" spans="1:7" x14ac:dyDescent="0.2">
      <c r="A333" s="3">
        <v>45071</v>
      </c>
      <c r="B333" s="4" t="s">
        <v>7</v>
      </c>
      <c r="C333" s="5">
        <v>10.5513728142571</v>
      </c>
      <c r="D333" s="5">
        <v>13.151666439708199</v>
      </c>
      <c r="E333" s="4">
        <v>4</v>
      </c>
      <c r="F333" s="4">
        <v>20</v>
      </c>
      <c r="G333" s="4">
        <v>2</v>
      </c>
    </row>
    <row r="334" spans="1:7" x14ac:dyDescent="0.2">
      <c r="A334" s="3">
        <v>44952</v>
      </c>
      <c r="B334" s="4" t="s">
        <v>8</v>
      </c>
      <c r="C334" s="5">
        <v>14.037902279096899</v>
      </c>
      <c r="D334" s="5">
        <v>11.1531897322578</v>
      </c>
      <c r="E334" s="4">
        <v>5</v>
      </c>
      <c r="F334" s="4">
        <v>5</v>
      </c>
      <c r="G334" s="4">
        <v>2</v>
      </c>
    </row>
    <row r="335" spans="1:7" x14ac:dyDescent="0.2">
      <c r="A335" s="3">
        <v>45062</v>
      </c>
      <c r="B335" s="4" t="s">
        <v>7</v>
      </c>
      <c r="C335" s="5">
        <v>16.661419144243901</v>
      </c>
      <c r="D335" s="5">
        <v>12.3877922517828</v>
      </c>
      <c r="E335" s="4">
        <v>3</v>
      </c>
      <c r="F335" s="4">
        <v>14</v>
      </c>
      <c r="G335" s="4">
        <v>3</v>
      </c>
    </row>
    <row r="336" spans="1:7" x14ac:dyDescent="0.2">
      <c r="A336" s="3">
        <v>45229</v>
      </c>
      <c r="B336" s="4" t="s">
        <v>8</v>
      </c>
      <c r="C336" s="5">
        <v>13.487559866708899</v>
      </c>
      <c r="D336" s="5">
        <v>21.001107601809601</v>
      </c>
      <c r="E336" s="4">
        <v>5</v>
      </c>
      <c r="F336" s="4">
        <v>16</v>
      </c>
      <c r="G336" s="4">
        <v>5</v>
      </c>
    </row>
    <row r="337" spans="1:7" x14ac:dyDescent="0.2">
      <c r="A337" s="3">
        <v>45158</v>
      </c>
      <c r="B337" s="4" t="s">
        <v>7</v>
      </c>
      <c r="C337" s="5">
        <v>14.9264713092489</v>
      </c>
      <c r="D337" s="5">
        <v>15.191152792670801</v>
      </c>
      <c r="E337" s="4">
        <v>3</v>
      </c>
      <c r="F337" s="4">
        <v>18</v>
      </c>
      <c r="G337" s="4">
        <v>5</v>
      </c>
    </row>
    <row r="338" spans="1:7" x14ac:dyDescent="0.2">
      <c r="A338" s="3">
        <v>45002</v>
      </c>
      <c r="B338" s="4" t="s">
        <v>7</v>
      </c>
      <c r="C338" s="5">
        <v>16.587251401603702</v>
      </c>
      <c r="D338" s="5">
        <v>15.3380246201838</v>
      </c>
      <c r="E338" s="4">
        <v>5</v>
      </c>
      <c r="F338" s="4">
        <v>7</v>
      </c>
      <c r="G338" s="4">
        <v>2</v>
      </c>
    </row>
    <row r="339" spans="1:7" x14ac:dyDescent="0.2">
      <c r="A339" s="3">
        <v>45254</v>
      </c>
      <c r="B339" s="4" t="s">
        <v>8</v>
      </c>
      <c r="C339" s="5">
        <v>7.8393070791734996</v>
      </c>
      <c r="D339" s="5">
        <v>8.7538113236033706</v>
      </c>
      <c r="E339" s="4">
        <v>5</v>
      </c>
      <c r="F339" s="4">
        <v>10</v>
      </c>
      <c r="G339" s="4">
        <v>3</v>
      </c>
    </row>
    <row r="340" spans="1:7" x14ac:dyDescent="0.2">
      <c r="A340" s="3">
        <v>45271</v>
      </c>
      <c r="B340" s="4" t="s">
        <v>8</v>
      </c>
      <c r="C340" s="5">
        <v>23.2064657271378</v>
      </c>
      <c r="D340" s="5">
        <v>18.296160588856701</v>
      </c>
      <c r="E340" s="4">
        <v>2</v>
      </c>
      <c r="F340" s="4">
        <v>7</v>
      </c>
      <c r="G340" s="4">
        <v>3</v>
      </c>
    </row>
    <row r="341" spans="1:7" x14ac:dyDescent="0.2">
      <c r="A341" s="3">
        <v>45228</v>
      </c>
      <c r="B341" s="4" t="s">
        <v>7</v>
      </c>
      <c r="C341" s="5">
        <v>13.718137723598</v>
      </c>
      <c r="D341" s="5">
        <v>14.0072394553422</v>
      </c>
      <c r="E341" s="4">
        <v>3</v>
      </c>
      <c r="F341" s="4">
        <v>1</v>
      </c>
      <c r="G341" s="4">
        <v>4</v>
      </c>
    </row>
    <row r="342" spans="1:7" x14ac:dyDescent="0.2">
      <c r="A342" s="3">
        <v>45215</v>
      </c>
      <c r="B342" s="4" t="s">
        <v>8</v>
      </c>
      <c r="C342" s="5">
        <v>13.5888898022168</v>
      </c>
      <c r="D342" s="5">
        <v>13.650945595322501</v>
      </c>
      <c r="E342" s="4">
        <v>5</v>
      </c>
      <c r="F342" s="4">
        <v>19</v>
      </c>
      <c r="G342" s="4">
        <v>5</v>
      </c>
    </row>
    <row r="343" spans="1:7" x14ac:dyDescent="0.2">
      <c r="A343" s="3">
        <v>44927</v>
      </c>
      <c r="B343" s="4" t="s">
        <v>8</v>
      </c>
      <c r="C343" s="5">
        <v>23.121843605746001</v>
      </c>
      <c r="D343" s="5">
        <v>14.076784324186001</v>
      </c>
      <c r="E343" s="4">
        <v>4</v>
      </c>
      <c r="F343" s="4">
        <v>16</v>
      </c>
      <c r="G343" s="4">
        <v>1</v>
      </c>
    </row>
    <row r="344" spans="1:7" x14ac:dyDescent="0.2">
      <c r="A344" s="3">
        <v>45073</v>
      </c>
      <c r="B344" s="4" t="s">
        <v>8</v>
      </c>
      <c r="C344" s="5">
        <v>11.1224832855544</v>
      </c>
      <c r="D344" s="5">
        <v>13.504322239078</v>
      </c>
      <c r="E344" s="4">
        <v>4</v>
      </c>
      <c r="F344" s="4">
        <v>19</v>
      </c>
      <c r="G344" s="4">
        <v>5</v>
      </c>
    </row>
    <row r="345" spans="1:7" x14ac:dyDescent="0.2">
      <c r="A345" s="3">
        <v>45213</v>
      </c>
      <c r="B345" s="4" t="s">
        <v>8</v>
      </c>
      <c r="C345" s="5">
        <v>8.74652841231444</v>
      </c>
      <c r="D345" s="5">
        <v>10.510039980214801</v>
      </c>
      <c r="E345" s="4">
        <v>3</v>
      </c>
      <c r="F345" s="4">
        <v>4</v>
      </c>
      <c r="G345" s="4">
        <v>5</v>
      </c>
    </row>
    <row r="346" spans="1:7" x14ac:dyDescent="0.2">
      <c r="A346" s="3">
        <v>45068</v>
      </c>
      <c r="B346" s="4" t="s">
        <v>7</v>
      </c>
      <c r="C346" s="5">
        <v>8.7644808471908409</v>
      </c>
      <c r="D346" s="5">
        <v>19.867427018916999</v>
      </c>
      <c r="E346" s="4">
        <v>4</v>
      </c>
      <c r="F346" s="4">
        <v>18</v>
      </c>
      <c r="G346" s="4">
        <v>4</v>
      </c>
    </row>
    <row r="347" spans="1:7" x14ac:dyDescent="0.2">
      <c r="A347" s="3">
        <v>44979</v>
      </c>
      <c r="B347" s="4" t="s">
        <v>7</v>
      </c>
      <c r="C347" s="5">
        <v>8.1160249686788202</v>
      </c>
      <c r="D347" s="5">
        <v>8.5354716071805203</v>
      </c>
      <c r="E347" s="4">
        <v>4</v>
      </c>
      <c r="F347" s="4">
        <v>2</v>
      </c>
      <c r="G347" s="4">
        <v>1</v>
      </c>
    </row>
    <row r="348" spans="1:7" x14ac:dyDescent="0.2">
      <c r="A348" s="3">
        <v>45230</v>
      </c>
      <c r="B348" s="4" t="s">
        <v>8</v>
      </c>
      <c r="C348" s="5">
        <v>19.275957829251301</v>
      </c>
      <c r="D348" s="5">
        <v>14.3429586817938</v>
      </c>
      <c r="E348" s="4">
        <v>5</v>
      </c>
      <c r="F348" s="4">
        <v>1</v>
      </c>
      <c r="G348" s="4">
        <v>4</v>
      </c>
    </row>
    <row r="349" spans="1:7" x14ac:dyDescent="0.2">
      <c r="A349" s="3">
        <v>44995</v>
      </c>
      <c r="B349" s="4" t="s">
        <v>8</v>
      </c>
      <c r="C349" s="5">
        <v>18.296268112811699</v>
      </c>
      <c r="D349" s="5">
        <v>18.925294673416101</v>
      </c>
      <c r="E349" s="4">
        <v>4</v>
      </c>
      <c r="F349" s="4">
        <v>15</v>
      </c>
      <c r="G349" s="4">
        <v>1</v>
      </c>
    </row>
    <row r="350" spans="1:7" x14ac:dyDescent="0.2">
      <c r="A350" s="3">
        <v>45287</v>
      </c>
      <c r="B350" s="4" t="s">
        <v>8</v>
      </c>
      <c r="C350" s="5">
        <v>15.640777889373799</v>
      </c>
      <c r="D350" s="5">
        <v>9.7811408679701408</v>
      </c>
      <c r="E350" s="4">
        <v>4</v>
      </c>
      <c r="F350" s="4">
        <v>5</v>
      </c>
      <c r="G350" s="4">
        <v>2</v>
      </c>
    </row>
    <row r="351" spans="1:7" x14ac:dyDescent="0.2">
      <c r="A351" s="3">
        <v>45016</v>
      </c>
      <c r="B351" s="4" t="s">
        <v>8</v>
      </c>
      <c r="C351" s="5">
        <v>11.8932764241441</v>
      </c>
      <c r="D351" s="5">
        <v>13.009487815126</v>
      </c>
      <c r="E351" s="4">
        <v>4</v>
      </c>
      <c r="F351" s="4">
        <v>20</v>
      </c>
      <c r="G351" s="4">
        <v>1</v>
      </c>
    </row>
    <row r="352" spans="1:7" x14ac:dyDescent="0.2">
      <c r="A352" s="3">
        <v>45146</v>
      </c>
      <c r="B352" s="4" t="s">
        <v>7</v>
      </c>
      <c r="C352" s="5">
        <v>13.155453782799</v>
      </c>
      <c r="D352" s="5">
        <v>11.9807713985189</v>
      </c>
      <c r="E352" s="4">
        <v>4</v>
      </c>
      <c r="F352" s="4">
        <v>11</v>
      </c>
      <c r="G352" s="4">
        <v>4</v>
      </c>
    </row>
    <row r="353" spans="1:7" x14ac:dyDescent="0.2">
      <c r="A353" s="3">
        <v>45118</v>
      </c>
      <c r="B353" s="4" t="s">
        <v>7</v>
      </c>
      <c r="C353" s="5">
        <v>13.7376781084748</v>
      </c>
      <c r="D353" s="5">
        <v>12.238474662360099</v>
      </c>
      <c r="E353" s="4">
        <v>4</v>
      </c>
      <c r="F353" s="4">
        <v>10</v>
      </c>
      <c r="G353" s="4">
        <v>5</v>
      </c>
    </row>
    <row r="354" spans="1:7" x14ac:dyDescent="0.2">
      <c r="A354" s="3">
        <v>44989</v>
      </c>
      <c r="B354" s="4" t="s">
        <v>8</v>
      </c>
      <c r="C354" s="5">
        <v>20.428829811600998</v>
      </c>
      <c r="D354" s="5">
        <v>11.5693588051221</v>
      </c>
      <c r="E354" s="4">
        <v>4</v>
      </c>
      <c r="F354" s="4">
        <v>2</v>
      </c>
      <c r="G354" s="4">
        <v>1</v>
      </c>
    </row>
    <row r="355" spans="1:7" x14ac:dyDescent="0.2">
      <c r="A355" s="3">
        <v>44999</v>
      </c>
      <c r="B355" s="4" t="s">
        <v>8</v>
      </c>
      <c r="C355" s="5">
        <v>17.920030735018301</v>
      </c>
      <c r="D355" s="5">
        <v>11.2078565435499</v>
      </c>
      <c r="E355" s="4">
        <v>4</v>
      </c>
      <c r="F355" s="4">
        <v>3</v>
      </c>
      <c r="G355" s="4">
        <v>1</v>
      </c>
    </row>
    <row r="356" spans="1:7" x14ac:dyDescent="0.2">
      <c r="A356" s="3">
        <v>45087</v>
      </c>
      <c r="B356" s="4" t="s">
        <v>8</v>
      </c>
      <c r="C356" s="5">
        <v>14.990491896048701</v>
      </c>
      <c r="D356" s="5">
        <v>13.6239464903091</v>
      </c>
      <c r="E356" s="4">
        <v>4</v>
      </c>
      <c r="F356" s="4">
        <v>12</v>
      </c>
      <c r="G356" s="4">
        <v>3</v>
      </c>
    </row>
    <row r="357" spans="1:7" x14ac:dyDescent="0.2">
      <c r="A357" s="3">
        <v>45095</v>
      </c>
      <c r="B357" s="4" t="s">
        <v>7</v>
      </c>
      <c r="C357" s="5">
        <v>12.498735317681099</v>
      </c>
      <c r="D357" s="5">
        <v>14.086085501845901</v>
      </c>
      <c r="E357" s="4">
        <v>5</v>
      </c>
      <c r="F357" s="4">
        <v>20</v>
      </c>
      <c r="G357" s="4">
        <v>5</v>
      </c>
    </row>
    <row r="358" spans="1:7" x14ac:dyDescent="0.2">
      <c r="A358" s="3">
        <v>45015</v>
      </c>
      <c r="B358" s="4" t="s">
        <v>8</v>
      </c>
      <c r="C358" s="5">
        <v>13.9907434320038</v>
      </c>
      <c r="D358" s="5">
        <v>14.1175293738891</v>
      </c>
      <c r="E358" s="4">
        <v>5</v>
      </c>
      <c r="F358" s="4">
        <v>5</v>
      </c>
      <c r="G358" s="4">
        <v>2</v>
      </c>
    </row>
    <row r="359" spans="1:7" x14ac:dyDescent="0.2">
      <c r="A359" s="3">
        <v>45102</v>
      </c>
      <c r="B359" s="4" t="s">
        <v>7</v>
      </c>
      <c r="C359" s="5">
        <v>20.855670680539902</v>
      </c>
      <c r="D359" s="5">
        <v>16.1876598032229</v>
      </c>
      <c r="E359" s="4">
        <v>4</v>
      </c>
      <c r="F359" s="4">
        <v>5</v>
      </c>
      <c r="G359" s="4">
        <v>4</v>
      </c>
    </row>
    <row r="360" spans="1:7" x14ac:dyDescent="0.2">
      <c r="A360" s="3">
        <v>45195</v>
      </c>
      <c r="B360" s="4" t="s">
        <v>8</v>
      </c>
      <c r="C360" s="5">
        <v>13.161359280169</v>
      </c>
      <c r="D360" s="5">
        <v>9.3654925129631099</v>
      </c>
      <c r="E360" s="4">
        <v>5</v>
      </c>
      <c r="F360" s="4">
        <v>6</v>
      </c>
      <c r="G360" s="4">
        <v>2</v>
      </c>
    </row>
    <row r="361" spans="1:7" x14ac:dyDescent="0.2">
      <c r="A361" s="3">
        <v>44999</v>
      </c>
      <c r="B361" s="4" t="s">
        <v>7</v>
      </c>
      <c r="C361" s="5">
        <v>23.5863845282238</v>
      </c>
      <c r="D361" s="5">
        <v>15.877758612151601</v>
      </c>
      <c r="E361" s="4">
        <v>4</v>
      </c>
      <c r="F361" s="4">
        <v>9</v>
      </c>
      <c r="G361" s="4">
        <v>5</v>
      </c>
    </row>
    <row r="362" spans="1:7" x14ac:dyDescent="0.2">
      <c r="A362" s="3">
        <v>45171</v>
      </c>
      <c r="B362" s="4" t="s">
        <v>8</v>
      </c>
      <c r="C362" s="5">
        <v>16.2596732571206</v>
      </c>
      <c r="D362" s="5">
        <v>12.785829927504199</v>
      </c>
      <c r="E362" s="4">
        <v>2</v>
      </c>
      <c r="F362" s="4">
        <v>2</v>
      </c>
      <c r="G362" s="4">
        <v>1</v>
      </c>
    </row>
    <row r="363" spans="1:7" x14ac:dyDescent="0.2">
      <c r="A363" s="3">
        <v>45003</v>
      </c>
      <c r="B363" s="4" t="s">
        <v>7</v>
      </c>
      <c r="C363" s="5">
        <v>12.7663694565013</v>
      </c>
      <c r="D363" s="5">
        <v>10.889043581236299</v>
      </c>
      <c r="E363" s="4">
        <v>3</v>
      </c>
      <c r="F363" s="4">
        <v>12</v>
      </c>
      <c r="G363" s="4">
        <v>1</v>
      </c>
    </row>
    <row r="364" spans="1:7" x14ac:dyDescent="0.2">
      <c r="A364" s="3">
        <v>45085</v>
      </c>
      <c r="B364" s="4" t="s">
        <v>8</v>
      </c>
      <c r="C364" s="5">
        <v>16.945619925771599</v>
      </c>
      <c r="D364" s="5">
        <v>20.522009487125299</v>
      </c>
      <c r="E364" s="4">
        <v>2</v>
      </c>
      <c r="F364" s="4">
        <v>3</v>
      </c>
      <c r="G364" s="4">
        <v>5</v>
      </c>
    </row>
    <row r="365" spans="1:7" x14ac:dyDescent="0.2">
      <c r="A365" s="3">
        <v>45250</v>
      </c>
      <c r="B365" s="4" t="s">
        <v>8</v>
      </c>
      <c r="C365" s="5">
        <v>9.2008558610494706</v>
      </c>
      <c r="D365" s="5">
        <v>13.8275723919222</v>
      </c>
      <c r="E365" s="4">
        <v>4</v>
      </c>
      <c r="F365" s="4">
        <v>20</v>
      </c>
      <c r="G365" s="4">
        <v>1</v>
      </c>
    </row>
    <row r="366" spans="1:7" x14ac:dyDescent="0.2">
      <c r="A366" s="3">
        <v>45024</v>
      </c>
      <c r="B366" s="4" t="s">
        <v>8</v>
      </c>
      <c r="C366" s="5">
        <v>7.3450719958555597</v>
      </c>
      <c r="D366" s="5">
        <v>12.587649206859099</v>
      </c>
      <c r="E366" s="4">
        <v>4</v>
      </c>
      <c r="F366" s="4">
        <v>12</v>
      </c>
      <c r="G366" s="4">
        <v>1</v>
      </c>
    </row>
    <row r="367" spans="1:7" x14ac:dyDescent="0.2">
      <c r="A367" s="3">
        <v>45028</v>
      </c>
      <c r="B367" s="4" t="s">
        <v>7</v>
      </c>
      <c r="C367" s="5">
        <v>13.7993897640571</v>
      </c>
      <c r="D367" s="5">
        <v>14.6113892033051</v>
      </c>
      <c r="E367" s="4">
        <v>5</v>
      </c>
      <c r="F367" s="4">
        <v>17</v>
      </c>
      <c r="G367" s="4">
        <v>1</v>
      </c>
    </row>
    <row r="368" spans="1:7" x14ac:dyDescent="0.2">
      <c r="A368" s="3">
        <v>45058</v>
      </c>
      <c r="B368" s="4" t="s">
        <v>8</v>
      </c>
      <c r="C368" s="5">
        <v>13.112046240905199</v>
      </c>
      <c r="D368" s="5">
        <v>11.6268498714769</v>
      </c>
      <c r="E368" s="4">
        <v>4</v>
      </c>
      <c r="F368" s="4">
        <v>10</v>
      </c>
      <c r="G368" s="4">
        <v>4</v>
      </c>
    </row>
    <row r="369" spans="1:7" x14ac:dyDescent="0.2">
      <c r="A369" s="3">
        <v>45028</v>
      </c>
      <c r="B369" s="4" t="s">
        <v>7</v>
      </c>
      <c r="C369" s="5">
        <v>10.006296200390899</v>
      </c>
      <c r="D369" s="5">
        <v>16.962085399406799</v>
      </c>
      <c r="E369" s="4">
        <v>4</v>
      </c>
      <c r="F369" s="4">
        <v>14</v>
      </c>
      <c r="G369" s="4">
        <v>4</v>
      </c>
    </row>
    <row r="370" spans="1:7" x14ac:dyDescent="0.2">
      <c r="A370" s="3">
        <v>44945</v>
      </c>
      <c r="B370" s="4" t="s">
        <v>7</v>
      </c>
      <c r="C370" s="5">
        <v>16.048838049274401</v>
      </c>
      <c r="D370" s="5">
        <v>14.447456475087201</v>
      </c>
      <c r="E370" s="4">
        <v>5</v>
      </c>
      <c r="F370" s="4">
        <v>17</v>
      </c>
      <c r="G370" s="4">
        <v>3</v>
      </c>
    </row>
    <row r="371" spans="1:7" x14ac:dyDescent="0.2">
      <c r="A371" s="3">
        <v>45008</v>
      </c>
      <c r="B371" s="4" t="s">
        <v>8</v>
      </c>
      <c r="C371" s="5">
        <v>16.6134951080723</v>
      </c>
      <c r="D371" s="5">
        <v>19.944077668094899</v>
      </c>
      <c r="E371" s="4">
        <v>2</v>
      </c>
      <c r="F371" s="4">
        <v>18</v>
      </c>
      <c r="G371" s="4">
        <v>2</v>
      </c>
    </row>
    <row r="372" spans="1:7" x14ac:dyDescent="0.2">
      <c r="A372" s="3">
        <v>45205</v>
      </c>
      <c r="B372" s="4" t="s">
        <v>8</v>
      </c>
      <c r="C372" s="5">
        <v>13.0122550871295</v>
      </c>
      <c r="D372" s="5">
        <v>15.2005435383979</v>
      </c>
      <c r="E372" s="4">
        <v>4</v>
      </c>
      <c r="F372" s="4">
        <v>19</v>
      </c>
      <c r="G372" s="4">
        <v>5</v>
      </c>
    </row>
    <row r="373" spans="1:7" x14ac:dyDescent="0.2">
      <c r="A373" s="3">
        <v>45265</v>
      </c>
      <c r="B373" s="4" t="s">
        <v>8</v>
      </c>
      <c r="C373" s="5">
        <v>13.248999145622699</v>
      </c>
      <c r="D373" s="5">
        <v>17.199468823701899</v>
      </c>
      <c r="E373" s="4">
        <v>5</v>
      </c>
      <c r="F373" s="4">
        <v>17</v>
      </c>
      <c r="G373" s="4">
        <v>5</v>
      </c>
    </row>
    <row r="374" spans="1:7" x14ac:dyDescent="0.2">
      <c r="A374" s="3">
        <v>45291</v>
      </c>
      <c r="B374" s="4" t="s">
        <v>7</v>
      </c>
      <c r="C374" s="5">
        <v>18.725571803897498</v>
      </c>
      <c r="D374" s="5">
        <v>17.646044484900798</v>
      </c>
      <c r="E374" s="4">
        <v>3</v>
      </c>
      <c r="F374" s="4">
        <v>14</v>
      </c>
      <c r="G374" s="4">
        <v>5</v>
      </c>
    </row>
    <row r="375" spans="1:7" x14ac:dyDescent="0.2">
      <c r="A375" s="3">
        <v>45257</v>
      </c>
      <c r="B375" s="4" t="s">
        <v>8</v>
      </c>
      <c r="C375" s="5">
        <v>14.479635413042599</v>
      </c>
      <c r="D375" s="5">
        <v>18.537055675181399</v>
      </c>
      <c r="E375" s="4">
        <v>5</v>
      </c>
      <c r="F375" s="4">
        <v>9</v>
      </c>
      <c r="G375" s="4">
        <v>3</v>
      </c>
    </row>
    <row r="376" spans="1:7" x14ac:dyDescent="0.2">
      <c r="A376" s="3">
        <v>45055</v>
      </c>
      <c r="B376" s="4" t="s">
        <v>7</v>
      </c>
      <c r="C376" s="5">
        <v>10.076591228755801</v>
      </c>
      <c r="D376" s="5">
        <v>11.0114629314964</v>
      </c>
      <c r="E376" s="4">
        <v>4</v>
      </c>
      <c r="F376" s="4">
        <v>8</v>
      </c>
      <c r="G376" s="4">
        <v>4</v>
      </c>
    </row>
    <row r="377" spans="1:7" x14ac:dyDescent="0.2">
      <c r="A377" s="3">
        <v>45270</v>
      </c>
      <c r="B377" s="4" t="s">
        <v>7</v>
      </c>
      <c r="C377" s="5">
        <v>6.6163262185559804</v>
      </c>
      <c r="D377" s="5">
        <v>8.8122161863035409</v>
      </c>
      <c r="E377" s="4">
        <v>4</v>
      </c>
      <c r="F377" s="4">
        <v>2</v>
      </c>
      <c r="G377" s="4">
        <v>3</v>
      </c>
    </row>
    <row r="378" spans="1:7" x14ac:dyDescent="0.2">
      <c r="A378" s="3">
        <v>45236</v>
      </c>
      <c r="B378" s="4" t="s">
        <v>8</v>
      </c>
      <c r="C378" s="5">
        <v>9.43616031836034</v>
      </c>
      <c r="D378" s="5">
        <v>9.2120633597471908</v>
      </c>
      <c r="E378" s="4">
        <v>5</v>
      </c>
      <c r="F378" s="4">
        <v>13</v>
      </c>
      <c r="G378" s="4">
        <v>5</v>
      </c>
    </row>
    <row r="379" spans="1:7" x14ac:dyDescent="0.2">
      <c r="A379" s="3">
        <v>45015</v>
      </c>
      <c r="B379" s="4" t="s">
        <v>8</v>
      </c>
      <c r="C379" s="5">
        <v>18.091671002869202</v>
      </c>
      <c r="D379" s="5">
        <v>11.403491361248401</v>
      </c>
      <c r="E379" s="4">
        <v>5</v>
      </c>
      <c r="F379" s="4">
        <v>7</v>
      </c>
      <c r="G379" s="4">
        <v>2</v>
      </c>
    </row>
    <row r="380" spans="1:7" x14ac:dyDescent="0.2">
      <c r="A380" s="3">
        <v>45139</v>
      </c>
      <c r="B380" s="4" t="s">
        <v>8</v>
      </c>
      <c r="C380" s="5">
        <v>26.0949014666088</v>
      </c>
      <c r="D380" s="5">
        <v>17.094612969249699</v>
      </c>
      <c r="E380" s="4">
        <v>4</v>
      </c>
      <c r="F380" s="4">
        <v>9</v>
      </c>
      <c r="G380" s="4">
        <v>1</v>
      </c>
    </row>
    <row r="381" spans="1:7" x14ac:dyDescent="0.2">
      <c r="A381" s="3">
        <v>45069</v>
      </c>
      <c r="B381" s="4" t="s">
        <v>8</v>
      </c>
      <c r="C381" s="5">
        <v>7.5958508573224197</v>
      </c>
      <c r="D381" s="5">
        <v>15.057781562134201</v>
      </c>
      <c r="E381" s="4">
        <v>4</v>
      </c>
      <c r="F381" s="4">
        <v>11</v>
      </c>
      <c r="G381" s="4">
        <v>4</v>
      </c>
    </row>
    <row r="382" spans="1:7" x14ac:dyDescent="0.2">
      <c r="A382" s="3">
        <v>44991</v>
      </c>
      <c r="B382" s="4" t="s">
        <v>8</v>
      </c>
      <c r="C382" s="5">
        <v>15.5801390789096</v>
      </c>
      <c r="D382" s="5">
        <v>22.336916579955101</v>
      </c>
      <c r="E382" s="4">
        <v>4</v>
      </c>
      <c r="F382" s="4">
        <v>14</v>
      </c>
      <c r="G382" s="4">
        <v>4</v>
      </c>
    </row>
    <row r="383" spans="1:7" x14ac:dyDescent="0.2">
      <c r="A383" s="3">
        <v>45002</v>
      </c>
      <c r="B383" s="4" t="s">
        <v>8</v>
      </c>
      <c r="C383" s="5">
        <v>13.700303677278001</v>
      </c>
      <c r="D383" s="5">
        <v>11.2236866823448</v>
      </c>
      <c r="E383" s="4">
        <v>3</v>
      </c>
      <c r="F383" s="4">
        <v>4</v>
      </c>
      <c r="G383" s="4">
        <v>3</v>
      </c>
    </row>
    <row r="384" spans="1:7" x14ac:dyDescent="0.2">
      <c r="A384" s="3">
        <v>45125</v>
      </c>
      <c r="B384" s="4" t="s">
        <v>7</v>
      </c>
      <c r="C384" s="5">
        <v>4.9380521378450997</v>
      </c>
      <c r="D384" s="5">
        <v>9.0331049765901703</v>
      </c>
      <c r="E384" s="4">
        <v>5</v>
      </c>
      <c r="F384" s="4">
        <v>13</v>
      </c>
      <c r="G384" s="4">
        <v>4</v>
      </c>
    </row>
    <row r="385" spans="1:7" x14ac:dyDescent="0.2">
      <c r="A385" s="3">
        <v>45069</v>
      </c>
      <c r="B385" s="4" t="s">
        <v>7</v>
      </c>
      <c r="C385" s="5">
        <v>13.737122489159599</v>
      </c>
      <c r="D385" s="5">
        <v>14.910724422641801</v>
      </c>
      <c r="E385" s="4">
        <v>3</v>
      </c>
      <c r="F385" s="4">
        <v>2</v>
      </c>
      <c r="G385" s="4">
        <v>5</v>
      </c>
    </row>
    <row r="386" spans="1:7" x14ac:dyDescent="0.2">
      <c r="A386" s="3">
        <v>45242</v>
      </c>
      <c r="B386" s="4" t="s">
        <v>7</v>
      </c>
      <c r="C386" s="5">
        <v>11.6204336692232</v>
      </c>
      <c r="D386" s="5">
        <v>9.6722852622984608</v>
      </c>
      <c r="E386" s="4">
        <v>4</v>
      </c>
      <c r="F386" s="4">
        <v>5</v>
      </c>
      <c r="G386" s="4">
        <v>5</v>
      </c>
    </row>
    <row r="387" spans="1:7" x14ac:dyDescent="0.2">
      <c r="A387" s="3">
        <v>45019</v>
      </c>
      <c r="B387" s="4" t="s">
        <v>8</v>
      </c>
      <c r="C387" s="5">
        <v>15.0751968932381</v>
      </c>
      <c r="D387" s="5">
        <v>15.767239977955001</v>
      </c>
      <c r="E387" s="4">
        <v>4</v>
      </c>
      <c r="F387" s="4">
        <v>11</v>
      </c>
      <c r="G387" s="4">
        <v>3</v>
      </c>
    </row>
    <row r="388" spans="1:7" x14ac:dyDescent="0.2">
      <c r="A388" s="3">
        <v>45231</v>
      </c>
      <c r="B388" s="4" t="s">
        <v>7</v>
      </c>
      <c r="C388" s="5">
        <v>16.170877987888598</v>
      </c>
      <c r="D388" s="5">
        <v>12.828106217698799</v>
      </c>
      <c r="E388" s="4">
        <v>4</v>
      </c>
      <c r="F388" s="4">
        <v>6</v>
      </c>
      <c r="G388" s="4">
        <v>5</v>
      </c>
    </row>
    <row r="389" spans="1:7" x14ac:dyDescent="0.2">
      <c r="A389" s="3">
        <v>45150</v>
      </c>
      <c r="B389" s="4" t="s">
        <v>7</v>
      </c>
      <c r="C389" s="5">
        <v>17.938085419607901</v>
      </c>
      <c r="D389" s="5">
        <v>16.150413481410801</v>
      </c>
      <c r="E389" s="4">
        <v>4</v>
      </c>
      <c r="F389" s="4">
        <v>18</v>
      </c>
      <c r="G389" s="4">
        <v>2</v>
      </c>
    </row>
    <row r="390" spans="1:7" x14ac:dyDescent="0.2">
      <c r="A390" s="3">
        <v>45217</v>
      </c>
      <c r="B390" s="4" t="s">
        <v>7</v>
      </c>
      <c r="C390" s="5">
        <v>13.475211919093001</v>
      </c>
      <c r="D390" s="5">
        <v>14.978499257390601</v>
      </c>
      <c r="E390" s="4">
        <v>5</v>
      </c>
      <c r="F390" s="4">
        <v>10</v>
      </c>
      <c r="G390" s="4">
        <v>3</v>
      </c>
    </row>
    <row r="391" spans="1:7" x14ac:dyDescent="0.2">
      <c r="A391" s="3">
        <v>45028</v>
      </c>
      <c r="B391" s="4" t="s">
        <v>7</v>
      </c>
      <c r="C391" s="5">
        <v>16.711548172168801</v>
      </c>
      <c r="D391" s="5">
        <v>11.560493773837001</v>
      </c>
      <c r="E391" s="4">
        <v>3</v>
      </c>
      <c r="F391" s="4">
        <v>4</v>
      </c>
      <c r="G391" s="4">
        <v>2</v>
      </c>
    </row>
    <row r="392" spans="1:7" x14ac:dyDescent="0.2">
      <c r="A392" s="3">
        <v>45193</v>
      </c>
      <c r="B392" s="4" t="s">
        <v>7</v>
      </c>
      <c r="C392" s="5">
        <v>20.550792664325801</v>
      </c>
      <c r="D392" s="5">
        <v>17.032930464214299</v>
      </c>
      <c r="E392" s="4">
        <v>4</v>
      </c>
      <c r="F392" s="4">
        <v>9</v>
      </c>
      <c r="G392" s="4">
        <v>1</v>
      </c>
    </row>
    <row r="393" spans="1:7" x14ac:dyDescent="0.2">
      <c r="A393" s="3">
        <v>45281</v>
      </c>
      <c r="B393" s="4" t="s">
        <v>8</v>
      </c>
      <c r="C393" s="5">
        <v>23.245959585753301</v>
      </c>
      <c r="D393" s="5">
        <v>17.528277752562001</v>
      </c>
      <c r="E393" s="4">
        <v>3</v>
      </c>
      <c r="F393" s="4">
        <v>6</v>
      </c>
      <c r="G393" s="4">
        <v>2</v>
      </c>
    </row>
    <row r="394" spans="1:7" x14ac:dyDescent="0.2">
      <c r="A394" s="3">
        <v>45036</v>
      </c>
      <c r="B394" s="4" t="s">
        <v>8</v>
      </c>
      <c r="C394" s="5">
        <v>15.3398833964897</v>
      </c>
      <c r="D394" s="5">
        <v>7.0292763652640202</v>
      </c>
      <c r="E394" s="4">
        <v>4</v>
      </c>
      <c r="F394" s="4">
        <v>2</v>
      </c>
      <c r="G394" s="4">
        <v>1</v>
      </c>
    </row>
    <row r="395" spans="1:7" x14ac:dyDescent="0.2">
      <c r="A395" s="3">
        <v>45256</v>
      </c>
      <c r="B395" s="4" t="s">
        <v>7</v>
      </c>
      <c r="C395" s="5">
        <v>22.9157293829272</v>
      </c>
      <c r="D395" s="5">
        <v>13.152274131836799</v>
      </c>
      <c r="E395" s="4">
        <v>4</v>
      </c>
      <c r="F395" s="4">
        <v>17</v>
      </c>
      <c r="G395" s="4">
        <v>1</v>
      </c>
    </row>
    <row r="396" spans="1:7" x14ac:dyDescent="0.2">
      <c r="A396" s="3">
        <v>45191</v>
      </c>
      <c r="B396" s="4" t="s">
        <v>7</v>
      </c>
      <c r="C396" s="5">
        <v>6.5897200603606398</v>
      </c>
      <c r="D396" s="5">
        <v>4.2387432682255399</v>
      </c>
      <c r="E396" s="4">
        <v>5</v>
      </c>
      <c r="F396" s="4">
        <v>5</v>
      </c>
      <c r="G396" s="4">
        <v>2</v>
      </c>
    </row>
    <row r="397" spans="1:7" x14ac:dyDescent="0.2">
      <c r="A397" s="3">
        <v>44929</v>
      </c>
      <c r="B397" s="4" t="s">
        <v>7</v>
      </c>
      <c r="C397" s="5">
        <v>12.7654121739477</v>
      </c>
      <c r="D397" s="5">
        <v>18.241549753658301</v>
      </c>
      <c r="E397" s="4">
        <v>3</v>
      </c>
      <c r="F397" s="4">
        <v>6</v>
      </c>
      <c r="G397" s="4">
        <v>3</v>
      </c>
    </row>
    <row r="398" spans="1:7" x14ac:dyDescent="0.2">
      <c r="A398" s="3">
        <v>45011</v>
      </c>
      <c r="B398" s="4" t="s">
        <v>8</v>
      </c>
      <c r="C398" s="5">
        <v>15.143432735454599</v>
      </c>
      <c r="D398" s="5">
        <v>13.9088315787069</v>
      </c>
      <c r="E398" s="4">
        <v>5</v>
      </c>
      <c r="F398" s="4">
        <v>12</v>
      </c>
      <c r="G398" s="4">
        <v>5</v>
      </c>
    </row>
    <row r="399" spans="1:7" x14ac:dyDescent="0.2">
      <c r="A399" s="3">
        <v>45208</v>
      </c>
      <c r="B399" s="4" t="s">
        <v>8</v>
      </c>
      <c r="C399" s="5">
        <v>19.676936187082699</v>
      </c>
      <c r="D399" s="5">
        <v>19.629123520577402</v>
      </c>
      <c r="E399" s="4">
        <v>5</v>
      </c>
      <c r="F399" s="4">
        <v>10</v>
      </c>
      <c r="G399" s="4">
        <v>5</v>
      </c>
    </row>
    <row r="400" spans="1:7" x14ac:dyDescent="0.2">
      <c r="A400" s="3">
        <v>45254</v>
      </c>
      <c r="B400" s="4" t="s">
        <v>7</v>
      </c>
      <c r="C400" s="5">
        <v>13.9427300773737</v>
      </c>
      <c r="D400" s="5">
        <v>7.6374421619363604</v>
      </c>
      <c r="E400" s="4">
        <v>4</v>
      </c>
      <c r="F400" s="4">
        <v>6</v>
      </c>
      <c r="G400" s="4">
        <v>1</v>
      </c>
    </row>
    <row r="401" spans="1:7" x14ac:dyDescent="0.2">
      <c r="A401" s="3">
        <v>45230</v>
      </c>
      <c r="B401" s="4" t="s">
        <v>8</v>
      </c>
      <c r="C401" s="5">
        <v>20.618908155986698</v>
      </c>
      <c r="D401" s="5">
        <v>11.9889082362756</v>
      </c>
      <c r="E401" s="4">
        <v>5</v>
      </c>
      <c r="F401" s="4">
        <v>8</v>
      </c>
      <c r="G401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71142-73CF-4F44-97B4-5C3DFBB2A5A2}">
  <dimension ref="A1:H35"/>
  <sheetViews>
    <sheetView tabSelected="1" zoomScale="86" workbookViewId="0">
      <selection activeCell="E3" sqref="E3"/>
    </sheetView>
  </sheetViews>
  <sheetFormatPr defaultColWidth="10.76171875" defaultRowHeight="15" x14ac:dyDescent="0.2"/>
  <cols>
    <col min="1" max="1" width="25.2890625" customWidth="1"/>
    <col min="2" max="2" width="13.85546875" customWidth="1"/>
    <col min="3" max="3" width="14.52734375" customWidth="1"/>
    <col min="4" max="4" width="16.140625" customWidth="1"/>
    <col min="5" max="5" width="14.796875" customWidth="1"/>
    <col min="6" max="6" width="16.54296875" customWidth="1"/>
  </cols>
  <sheetData>
    <row r="1" spans="1:6" ht="18.75" x14ac:dyDescent="0.25">
      <c r="A1" s="6" t="s">
        <v>9</v>
      </c>
    </row>
    <row r="3" spans="1:6" ht="21" customHeight="1" x14ac:dyDescent="0.2"/>
    <row r="4" spans="1:6" ht="38.25" customHeight="1" x14ac:dyDescent="0.2">
      <c r="A4" s="7" t="s">
        <v>10</v>
      </c>
      <c r="B4" s="7" t="s">
        <v>11</v>
      </c>
      <c r="C4" s="7" t="s">
        <v>12</v>
      </c>
      <c r="D4" s="7" t="s">
        <v>4</v>
      </c>
      <c r="E4" s="7" t="s">
        <v>13</v>
      </c>
      <c r="F4" s="7" t="s">
        <v>14</v>
      </c>
    </row>
    <row r="5" spans="1:6" x14ac:dyDescent="0.2">
      <c r="A5" s="8" t="s">
        <v>15</v>
      </c>
      <c r="B5">
        <f>COUNT(Datos!C2:C401)</f>
        <v>400</v>
      </c>
      <c r="C5">
        <f>COUNT(Datos!D2:D401)</f>
        <v>400</v>
      </c>
      <c r="D5">
        <f>COUNT(Datos!E2:E401)</f>
        <v>400</v>
      </c>
      <c r="E5">
        <f>COUNT(Datos!F2:F401)</f>
        <v>400</v>
      </c>
      <c r="F5">
        <f>COUNT(Datos!G2:G401)</f>
        <v>400</v>
      </c>
    </row>
    <row r="6" spans="1:6" x14ac:dyDescent="0.2">
      <c r="A6" s="8" t="s">
        <v>16</v>
      </c>
      <c r="B6" s="9">
        <f>AVERAGE(Datos!C2:C401)</f>
        <v>14.861274305431696</v>
      </c>
      <c r="C6" s="9">
        <f>AVERAGE(Datos!D2:D401)</f>
        <v>13.611924166666867</v>
      </c>
      <c r="D6" s="9">
        <f>AVERAGE(Datos!E2:E401)</f>
        <v>3.88</v>
      </c>
      <c r="E6" s="9">
        <f>AVERAGE(Datos!F2:F401)</f>
        <v>10.51</v>
      </c>
      <c r="F6" s="9">
        <f>AVERAGE(Datos!G2:G401)</f>
        <v>2.9350000000000001</v>
      </c>
    </row>
    <row r="7" spans="1:6" x14ac:dyDescent="0.2">
      <c r="A7" s="8" t="s">
        <v>17</v>
      </c>
      <c r="B7" s="9">
        <f>MEDIAN(Datos!C2:C401)</f>
        <v>14.86379687092195</v>
      </c>
      <c r="C7" s="9">
        <f>MEDIAN(Datos!D2:D401)</f>
        <v>13.67811172149565</v>
      </c>
      <c r="D7" s="9">
        <f>MEDIAN(Datos!E2:E401)</f>
        <v>4</v>
      </c>
      <c r="E7" s="9">
        <f>MEDIAN(Datos!F2:F401)</f>
        <v>10</v>
      </c>
      <c r="F7" s="9">
        <f>MEDIAN(Datos!G2:G401)</f>
        <v>3</v>
      </c>
    </row>
    <row r="8" spans="1:6" x14ac:dyDescent="0.2">
      <c r="A8" s="8" t="s">
        <v>18</v>
      </c>
      <c r="B8" s="10" t="str">
        <f>IFERROR(_xlfn.MODE.SNGL(Datos!C2:C401),"sin moda")</f>
        <v>sin moda</v>
      </c>
      <c r="C8" s="10" t="str">
        <f>IFERROR(_xlfn.MODE.SNGL(Datos!D2:D401),"sin moda")</f>
        <v>sin moda</v>
      </c>
      <c r="D8" s="9">
        <f>IFERROR(_xlfn.MODE.SNGL(Datos!E2:E401),"sin moda")</f>
        <v>4</v>
      </c>
      <c r="E8" s="9">
        <f>IFERROR(_xlfn.MODE.SNGL(Datos!F2:F401),"sin moda")</f>
        <v>8</v>
      </c>
      <c r="F8" s="9">
        <f>IFERROR(_xlfn.MODE.SNGL(Datos!G2:G401),"sin moda")</f>
        <v>1</v>
      </c>
    </row>
    <row r="9" spans="1:6" x14ac:dyDescent="0.2">
      <c r="A9" s="8" t="s">
        <v>19</v>
      </c>
      <c r="B9" s="9">
        <f>MIN(Datos!C2:C401)</f>
        <v>3.0406143923504798</v>
      </c>
      <c r="C9" s="9">
        <f>MIN(Datos!D2:D401)</f>
        <v>3.0052545539187698</v>
      </c>
      <c r="D9" s="9">
        <f>MIN(Datos!E2:E401)</f>
        <v>2</v>
      </c>
      <c r="E9" s="9">
        <f>MIN(Datos!F2:F401)</f>
        <v>1</v>
      </c>
      <c r="F9" s="9">
        <f>MIN(Datos!G2:G401)</f>
        <v>1</v>
      </c>
    </row>
    <row r="10" spans="1:6" x14ac:dyDescent="0.2">
      <c r="A10" s="8" t="s">
        <v>20</v>
      </c>
      <c r="B10" s="9">
        <f>MAX(Datos!C2:C401)</f>
        <v>26.0949014666088</v>
      </c>
      <c r="C10" s="9">
        <f>MAX(Datos!D2:D401)</f>
        <v>22.449473364547899</v>
      </c>
      <c r="D10" s="9">
        <f>MAX(Datos!E2:E401)</f>
        <v>5</v>
      </c>
      <c r="E10" s="9">
        <f>MAX(Datos!F2:F401)</f>
        <v>20</v>
      </c>
      <c r="F10" s="9">
        <f>MAX(Datos!G2:G401)</f>
        <v>5</v>
      </c>
    </row>
    <row r="11" spans="1:6" x14ac:dyDescent="0.2">
      <c r="A11" s="8" t="s">
        <v>21</v>
      </c>
      <c r="B11" s="9">
        <f>MAX(Datos!C2:C401)-MIN(Datos!C2:C401)</f>
        <v>23.054287074258319</v>
      </c>
      <c r="C11" s="9">
        <f>MAX(Datos!D2:D401)-MIN(Datos!D2:D401)</f>
        <v>19.444218810629128</v>
      </c>
      <c r="D11" s="9">
        <f>MAX(Datos!E2:E401)-MIN(Datos!E2:E401)</f>
        <v>3</v>
      </c>
      <c r="E11" s="9">
        <f>MAX(Datos!F2:F401)-MIN(Datos!F2:F401)</f>
        <v>19</v>
      </c>
      <c r="F11" s="9">
        <f>MAX(Datos!G2:G401)-MIN(Datos!G2:G401)</f>
        <v>4</v>
      </c>
    </row>
    <row r="12" spans="1:6" x14ac:dyDescent="0.2">
      <c r="A12" s="8" t="s">
        <v>22</v>
      </c>
      <c r="B12" s="9">
        <f>_xlfn.VAR.S(Datos!C2:C401)</f>
        <v>17.247045013318729</v>
      </c>
      <c r="C12" s="9">
        <f>_xlfn.VAR.S(Datos!D2:D401)</f>
        <v>9.718727425306966</v>
      </c>
      <c r="D12" s="9">
        <f>_xlfn.VAR.S(Datos!E2:E401)</f>
        <v>0.87779448621553835</v>
      </c>
      <c r="E12" s="9">
        <f>_xlfn.VAR.S(Datos!F2:F401)</f>
        <v>34.566315789473684</v>
      </c>
      <c r="F12" s="9">
        <f>_xlfn.VAR.S(Datos!G2:G401)</f>
        <v>2.1060401002506266</v>
      </c>
    </row>
    <row r="13" spans="1:6" ht="26.25" customHeight="1" x14ac:dyDescent="0.2">
      <c r="A13" s="8" t="s">
        <v>23</v>
      </c>
      <c r="B13" s="9">
        <f>_xlfn.STDEV.S(Datos!C2:C401)</f>
        <v>4.1529561776304273</v>
      </c>
      <c r="C13" s="9">
        <f>_xlfn.STDEV.S(Datos!D2:D401)</f>
        <v>3.1174873576819788</v>
      </c>
      <c r="D13" s="9">
        <f>_xlfn.STDEV.S(Datos!E2:E401)</f>
        <v>0.93690687168764986</v>
      </c>
      <c r="E13" s="9">
        <f>_xlfn.STDEV.S(Datos!F2:F401)</f>
        <v>5.8793125269434086</v>
      </c>
      <c r="F13" s="9">
        <f>_xlfn.STDEV.S(Datos!G2:G401)</f>
        <v>1.4512202108055918</v>
      </c>
    </row>
    <row r="14" spans="1:6" x14ac:dyDescent="0.2">
      <c r="A14" s="8" t="s">
        <v>24</v>
      </c>
      <c r="B14" s="14">
        <f>_xlfn.STDEV.S(Datos!C2:C401)/AVERAGE(Datos!C2:C401)</f>
        <v>0.27944818810810523</v>
      </c>
      <c r="C14" s="14">
        <f>_xlfn.STDEV.S(Datos!D2:D401)/AVERAGE(Datos!D2:D401)</f>
        <v>0.22902620669281568</v>
      </c>
      <c r="D14" s="14">
        <f>_xlfn.STDEV.S(Datos!E2:E401)/AVERAGE(Datos!E2:E401)</f>
        <v>0.24147084321846646</v>
      </c>
      <c r="E14" s="14">
        <f>_xlfn.STDEV.S(Datos!F2:F401)/AVERAGE(Datos!F2:F401)</f>
        <v>0.55940176279195131</v>
      </c>
      <c r="F14" s="14">
        <f>_xlfn.STDEV.S(Datos!G2:G401)/AVERAGE(Datos!G2:G401)</f>
        <v>0.49445322344313181</v>
      </c>
    </row>
    <row r="15" spans="1:6" x14ac:dyDescent="0.2">
      <c r="A15" s="8" t="s">
        <v>25</v>
      </c>
      <c r="B15" s="9">
        <f>_xlfn.QUARTILE.INC(Datos!C2:C401,1)</f>
        <v>12.256266292237301</v>
      </c>
      <c r="C15" s="9">
        <f>_xlfn.QUARTILE.INC(Datos!D2:D401,1)</f>
        <v>11.5586999232482</v>
      </c>
      <c r="D15" s="9">
        <f>_xlfn.QUARTILE.INC(Datos!E2:E401,1)</f>
        <v>3</v>
      </c>
      <c r="E15" s="9">
        <f>_xlfn.QUARTILE.INC(Datos!F2:F401,1)</f>
        <v>6</v>
      </c>
      <c r="F15" s="9">
        <f>_xlfn.QUARTILE.INC(Datos!G2:G401,1)</f>
        <v>2</v>
      </c>
    </row>
    <row r="16" spans="1:6" x14ac:dyDescent="0.2">
      <c r="A16" s="8" t="s">
        <v>26</v>
      </c>
      <c r="B16" s="9">
        <f>_xlfn.QUARTILE.INC(Datos!C2:C401,3)</f>
        <v>17.4851850123401</v>
      </c>
      <c r="C16" s="9">
        <f>_xlfn.QUARTILE.INC(Datos!D2:D401,3)</f>
        <v>15.754483883849325</v>
      </c>
      <c r="D16" s="9">
        <f>_xlfn.QUARTILE.INC(Datos!E2:E401,3)</f>
        <v>5</v>
      </c>
      <c r="E16" s="9">
        <f>_xlfn.QUARTILE.INC(Datos!F2:F401,3)</f>
        <v>16</v>
      </c>
      <c r="F16" s="9">
        <f>_xlfn.QUARTILE.INC(Datos!G2:G401,3)</f>
        <v>4</v>
      </c>
    </row>
    <row r="17" spans="1:6" ht="24.75" customHeight="1" x14ac:dyDescent="0.2">
      <c r="A17" s="8" t="s">
        <v>27</v>
      </c>
      <c r="B17" s="9">
        <f>_xlfn.QUARTILE.INC(Datos!C2:C401,3)-_xlfn.QUARTILE.INC(Datos!C2:C401,1)</f>
        <v>5.2289187201027989</v>
      </c>
      <c r="C17" s="9">
        <f>_xlfn.QUARTILE.INC(Datos!D2:D401,3)-_xlfn.QUARTILE.INC(Datos!D2:D401,1)</f>
        <v>4.1957839606011245</v>
      </c>
      <c r="D17" s="9">
        <f>_xlfn.QUARTILE.INC(Datos!E2:E401,3)-_xlfn.QUARTILE.INC(Datos!E2:E401,1)</f>
        <v>2</v>
      </c>
      <c r="E17" s="9">
        <f>_xlfn.QUARTILE.INC(Datos!F2:F401,3)-_xlfn.QUARTILE.INC(Datos!F2:F401,1)</f>
        <v>10</v>
      </c>
      <c r="F17" s="9">
        <f>_xlfn.QUARTILE.INC(Datos!G2:G401,3)-_xlfn.QUARTILE.INC(Datos!G2:G401,1)</f>
        <v>2</v>
      </c>
    </row>
    <row r="18" spans="1:6" x14ac:dyDescent="0.2">
      <c r="A18" s="8" t="s">
        <v>28</v>
      </c>
      <c r="B18" s="12">
        <f>SKEW(Datos!C2:C401)</f>
        <v>3.9100098858756913E-2</v>
      </c>
      <c r="C18" s="12">
        <f>SKEW(Datos!D2:D401)</f>
        <v>-0.18313366615860849</v>
      </c>
      <c r="D18" s="12">
        <f>SKEW(Datos!E2:E401)</f>
        <v>-0.34677446249623017</v>
      </c>
      <c r="E18" s="12">
        <f>SKEW(Datos!F2:F401)</f>
        <v>2.8572002613708104E-2</v>
      </c>
      <c r="F18" s="12">
        <f>SKEW(Datos!G2:G401)</f>
        <v>0.1038178983587178</v>
      </c>
    </row>
    <row r="19" spans="1:6" x14ac:dyDescent="0.2">
      <c r="A19" s="8" t="s">
        <v>29</v>
      </c>
      <c r="B19" s="12">
        <f>KURT(Datos!C2:C401)</f>
        <v>-0.16770025624298412</v>
      </c>
      <c r="C19" s="12">
        <f>KURT(Datos!D2:D401)</f>
        <v>0.16000979895581002</v>
      </c>
      <c r="D19" s="12">
        <f>KURT(Datos!E2:E401)</f>
        <v>-0.85888111522930766</v>
      </c>
      <c r="E19" s="12">
        <f>KURT(Datos!F2:F401)</f>
        <v>-1.2131085775610839</v>
      </c>
      <c r="F19" s="12">
        <f>KURT(Datos!G2:G401)</f>
        <v>-1.3354170282737199</v>
      </c>
    </row>
    <row r="21" spans="1:6" x14ac:dyDescent="0.2">
      <c r="A21" s="15" t="s">
        <v>30</v>
      </c>
    </row>
    <row r="22" spans="1:6" ht="18.75" customHeight="1" x14ac:dyDescent="0.2">
      <c r="A22" s="7" t="s">
        <v>31</v>
      </c>
      <c r="B22" s="7" t="s">
        <v>32</v>
      </c>
      <c r="C22" s="7" t="s">
        <v>33</v>
      </c>
      <c r="D22" s="7" t="s">
        <v>34</v>
      </c>
      <c r="E22" s="7" t="s">
        <v>35</v>
      </c>
      <c r="F22" s="7" t="s">
        <v>36</v>
      </c>
    </row>
    <row r="23" spans="1:6" x14ac:dyDescent="0.2">
      <c r="A23" s="16" t="s">
        <v>37</v>
      </c>
      <c r="B23" s="18">
        <v>3</v>
      </c>
      <c r="C23" s="18">
        <v>5</v>
      </c>
      <c r="D23" s="19">
        <f>(B23+C23)/2</f>
        <v>4</v>
      </c>
      <c r="E23">
        <f>COUNTIFS(Datos!$D$2:$D$401,"&gt;="&amp;B23,Datos!$D$2:$D$401,"&lt;"&amp;C23)</f>
        <v>3</v>
      </c>
      <c r="F23">
        <f>E23</f>
        <v>3</v>
      </c>
    </row>
    <row r="24" spans="1:6" x14ac:dyDescent="0.2">
      <c r="A24" s="16" t="s">
        <v>38</v>
      </c>
      <c r="B24" s="18">
        <v>5</v>
      </c>
      <c r="C24" s="18">
        <v>7</v>
      </c>
      <c r="D24" s="19">
        <f t="shared" ref="D24:D32" si="0">(B24+C24)/2</f>
        <v>6</v>
      </c>
      <c r="E24">
        <f>COUNTIFS(Datos!$D$2:$D$401,"&gt;="&amp;B24,Datos!$D$2:$D$401,"&lt;"&amp;C24)</f>
        <v>1</v>
      </c>
      <c r="F24">
        <f>E23+E24</f>
        <v>4</v>
      </c>
    </row>
    <row r="25" spans="1:6" x14ac:dyDescent="0.2">
      <c r="A25" s="16" t="s">
        <v>39</v>
      </c>
      <c r="B25" s="18">
        <v>7</v>
      </c>
      <c r="C25" s="18">
        <v>9</v>
      </c>
      <c r="D25" s="19">
        <f t="shared" si="0"/>
        <v>8</v>
      </c>
      <c r="E25">
        <f>COUNTIFS(Datos!$D$2:$D$401,"&gt;="&amp;B25,Datos!$D$2:$D$401,"&lt;"&amp;C25)</f>
        <v>25</v>
      </c>
      <c r="F25">
        <f>F24+E25</f>
        <v>29</v>
      </c>
    </row>
    <row r="26" spans="1:6" x14ac:dyDescent="0.2">
      <c r="A26" s="16" t="s">
        <v>40</v>
      </c>
      <c r="B26" s="18">
        <v>9</v>
      </c>
      <c r="C26" s="18">
        <v>11</v>
      </c>
      <c r="D26" s="19">
        <f t="shared" si="0"/>
        <v>10</v>
      </c>
      <c r="E26">
        <f>COUNTIFS(Datos!$D$2:$D$401,"&gt;="&amp;B26,Datos!$D$2:$D$401,"&lt;"&amp;C26)</f>
        <v>46</v>
      </c>
      <c r="F26">
        <f t="shared" ref="F26:F32" si="1">F25+E26</f>
        <v>75</v>
      </c>
    </row>
    <row r="27" spans="1:6" x14ac:dyDescent="0.2">
      <c r="A27" s="16" t="s">
        <v>41</v>
      </c>
      <c r="B27" s="18">
        <v>11</v>
      </c>
      <c r="C27" s="18">
        <v>13</v>
      </c>
      <c r="D27" s="19">
        <f t="shared" si="0"/>
        <v>12</v>
      </c>
      <c r="E27">
        <f>COUNTIFS(Datos!$D$2:$D$401,"&gt;="&amp;B27,Datos!$D$2:$D$401,"&lt;"&amp;C27)</f>
        <v>92</v>
      </c>
      <c r="F27">
        <f t="shared" si="1"/>
        <v>167</v>
      </c>
    </row>
    <row r="28" spans="1:6" x14ac:dyDescent="0.2">
      <c r="A28" s="16" t="s">
        <v>42</v>
      </c>
      <c r="B28" s="18">
        <v>13</v>
      </c>
      <c r="C28" s="18">
        <v>15</v>
      </c>
      <c r="D28" s="19">
        <f t="shared" si="0"/>
        <v>14</v>
      </c>
      <c r="E28">
        <f>COUNTIFS(Datos!$D$2:$D$401,"&gt;="&amp;B28,Datos!$D$2:$D$401,"&lt;"&amp;C28)</f>
        <v>98</v>
      </c>
      <c r="F28">
        <f t="shared" si="1"/>
        <v>265</v>
      </c>
    </row>
    <row r="29" spans="1:6" x14ac:dyDescent="0.2">
      <c r="A29" s="16" t="s">
        <v>43</v>
      </c>
      <c r="B29" s="18">
        <v>15</v>
      </c>
      <c r="C29" s="18">
        <v>17</v>
      </c>
      <c r="D29" s="19">
        <f t="shared" si="0"/>
        <v>16</v>
      </c>
      <c r="E29">
        <f>COUNTIFS(Datos!$D$2:$D$401,"&gt;="&amp;B29,Datos!$D$2:$D$401,"&lt;"&amp;C29)</f>
        <v>76</v>
      </c>
      <c r="F29">
        <f t="shared" si="1"/>
        <v>341</v>
      </c>
    </row>
    <row r="30" spans="1:6" x14ac:dyDescent="0.2">
      <c r="A30" s="16" t="s">
        <v>44</v>
      </c>
      <c r="B30" s="18">
        <v>17</v>
      </c>
      <c r="C30" s="18">
        <v>19</v>
      </c>
      <c r="D30" s="19">
        <f t="shared" si="0"/>
        <v>18</v>
      </c>
      <c r="E30">
        <f>COUNTIFS(Datos!$D$2:$D$401,"&gt;="&amp;B30,Datos!$D$2:$D$401,"&lt;"&amp;C30)</f>
        <v>48</v>
      </c>
      <c r="F30">
        <f t="shared" si="1"/>
        <v>389</v>
      </c>
    </row>
    <row r="31" spans="1:6" x14ac:dyDescent="0.2">
      <c r="A31" s="16" t="s">
        <v>45</v>
      </c>
      <c r="B31" s="18">
        <v>19</v>
      </c>
      <c r="C31" s="18">
        <v>21</v>
      </c>
      <c r="D31" s="19">
        <f t="shared" si="0"/>
        <v>20</v>
      </c>
      <c r="E31">
        <f>COUNTIFS(Datos!$D$2:$D$401,"&gt;="&amp;B31,Datos!$D$2:$D$401,"&lt;"&amp;C31)</f>
        <v>8</v>
      </c>
      <c r="F31">
        <f t="shared" si="1"/>
        <v>397</v>
      </c>
    </row>
    <row r="32" spans="1:6" x14ac:dyDescent="0.2">
      <c r="A32" s="16" t="s">
        <v>46</v>
      </c>
      <c r="B32" s="18">
        <v>21</v>
      </c>
      <c r="C32" s="18">
        <v>23</v>
      </c>
      <c r="D32" s="19">
        <f t="shared" si="0"/>
        <v>22</v>
      </c>
      <c r="E32">
        <f>COUNTIFS(Datos!$D$2:$D$401,"&gt;="&amp;B32,Datos!$D$2:$D$401,"&lt;"&amp;C32)</f>
        <v>3</v>
      </c>
      <c r="F32">
        <f t="shared" si="1"/>
        <v>400</v>
      </c>
    </row>
    <row r="33" spans="1:8" x14ac:dyDescent="0.2">
      <c r="A33" s="17" t="s">
        <v>47</v>
      </c>
      <c r="E33" s="20">
        <f>SUM(E23:E32)</f>
        <v>400</v>
      </c>
    </row>
    <row r="35" spans="1:8" x14ac:dyDescent="0.2">
      <c r="H35" t="s">
        <v>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1789-3F8E-4680-8976-68E06E93C8B4}">
  <dimension ref="A1:F22"/>
  <sheetViews>
    <sheetView zoomScale="96" workbookViewId="0">
      <selection activeCell="L8" sqref="L8"/>
    </sheetView>
  </sheetViews>
  <sheetFormatPr defaultColWidth="10.76171875" defaultRowHeight="15" x14ac:dyDescent="0.2"/>
  <cols>
    <col min="1" max="1" width="36.9921875" customWidth="1"/>
    <col min="2" max="2" width="14.9296875" customWidth="1"/>
  </cols>
  <sheetData>
    <row r="1" spans="1:2" ht="18.75" x14ac:dyDescent="0.25">
      <c r="A1" s="21" t="s">
        <v>49</v>
      </c>
    </row>
    <row r="4" spans="1:2" ht="18.75" customHeight="1" x14ac:dyDescent="0.2">
      <c r="A4" s="7" t="s">
        <v>10</v>
      </c>
      <c r="B4" s="7" t="s">
        <v>50</v>
      </c>
    </row>
    <row r="5" spans="1:2" ht="22.5" customHeight="1" x14ac:dyDescent="0.2">
      <c r="A5" s="8" t="s">
        <v>19</v>
      </c>
      <c r="B5" s="9">
        <f>MIN(Datos!D2:D401)</f>
        <v>3.0052545539187698</v>
      </c>
    </row>
    <row r="6" spans="1:2" ht="22.5" customHeight="1" x14ac:dyDescent="0.2">
      <c r="A6" s="8" t="s">
        <v>25</v>
      </c>
      <c r="B6" s="9">
        <f>_xlfn.QUARTILE.INC(Datos!D2:D401,1)</f>
        <v>11.5586999232482</v>
      </c>
    </row>
    <row r="7" spans="1:2" ht="22.5" customHeight="1" x14ac:dyDescent="0.2">
      <c r="A7" s="8" t="s">
        <v>51</v>
      </c>
      <c r="B7" s="9">
        <f>MEDIAN(Datos!D2:D401)</f>
        <v>13.67811172149565</v>
      </c>
    </row>
    <row r="8" spans="1:2" ht="22.5" customHeight="1" x14ac:dyDescent="0.2">
      <c r="A8" s="8" t="s">
        <v>26</v>
      </c>
      <c r="B8" s="9">
        <f>_xlfn.QUARTILE.INC(Datos!D2:D401,3)</f>
        <v>15.754483883849325</v>
      </c>
    </row>
    <row r="9" spans="1:2" ht="22.5" customHeight="1" x14ac:dyDescent="0.2">
      <c r="A9" s="8" t="s">
        <v>20</v>
      </c>
      <c r="B9" s="9">
        <f>MAX(Datos!D2:D401)</f>
        <v>22.449473364547899</v>
      </c>
    </row>
    <row r="10" spans="1:2" ht="22.5" customHeight="1" x14ac:dyDescent="0.2">
      <c r="A10" s="8" t="s">
        <v>52</v>
      </c>
      <c r="B10" s="9">
        <f>_xlfn.QUARTILE.INC(Datos!D2:D401,3)-_xlfn.QUARTILE.INC(Datos!D2:D401,1)</f>
        <v>4.1957839606011245</v>
      </c>
    </row>
    <row r="11" spans="1:2" ht="22.5" customHeight="1" x14ac:dyDescent="0.2">
      <c r="A11" s="8" t="s">
        <v>53</v>
      </c>
      <c r="B11" s="9">
        <f>_xlfn.QUARTILE.INC(Datos!D2:D401,1)-1.5*(_xlfn.QUARTILE.INC(Datos!D2:D401,3)-_xlfn.QUARTILE.INC(Datos!D2:D401,1))</f>
        <v>5.2650239823465137</v>
      </c>
    </row>
    <row r="12" spans="1:2" ht="22.5" customHeight="1" x14ac:dyDescent="0.2">
      <c r="A12" s="8" t="s">
        <v>54</v>
      </c>
      <c r="B12" s="9">
        <f>_xlfn.QUARTILE.INC(Datos!D2:D401,3)+1.5*(_xlfn.QUARTILE.INC(Datos!D2:D401,3)-_xlfn.QUARTILE.INC(Datos!D2:D401,1))</f>
        <v>22.048159824751011</v>
      </c>
    </row>
    <row r="14" spans="1:2" x14ac:dyDescent="0.2">
      <c r="A14" s="8" t="s">
        <v>55</v>
      </c>
      <c r="B14">
        <f>COUNTIF(Datos!D2:D401,"&lt;"&amp;B11)</f>
        <v>3</v>
      </c>
    </row>
    <row r="15" spans="1:2" x14ac:dyDescent="0.2">
      <c r="A15" s="8" t="s">
        <v>56</v>
      </c>
      <c r="B15">
        <f>COUNTIF(Datos!D2:D401,"&gt;"&amp;B12)</f>
        <v>2</v>
      </c>
    </row>
    <row r="16" spans="1:2" ht="23.25" customHeight="1" x14ac:dyDescent="0.2">
      <c r="A16" s="17" t="s">
        <v>57</v>
      </c>
      <c r="B16" s="23">
        <f>B14+B15</f>
        <v>5</v>
      </c>
    </row>
    <row r="17" spans="1:6" ht="16.5" customHeight="1" x14ac:dyDescent="0.2">
      <c r="A17" s="17" t="s">
        <v>58</v>
      </c>
      <c r="B17" s="22">
        <f>(B14+B15)/COUNT(Datos!D2:D401)</f>
        <v>1.2500000000000001E-2</v>
      </c>
    </row>
    <row r="18" spans="1:6" ht="23.25" customHeight="1" x14ac:dyDescent="0.2"/>
    <row r="20" spans="1:6" x14ac:dyDescent="0.2">
      <c r="A20" s="89" t="s">
        <v>59</v>
      </c>
      <c r="B20" s="89"/>
      <c r="C20" s="89"/>
      <c r="D20" s="89"/>
      <c r="E20" s="89"/>
      <c r="F20" s="89"/>
    </row>
    <row r="21" spans="1:6" x14ac:dyDescent="0.2">
      <c r="A21" s="24" t="s">
        <v>60</v>
      </c>
      <c r="B21" s="24" t="s">
        <v>61</v>
      </c>
      <c r="C21" s="24" t="s">
        <v>62</v>
      </c>
      <c r="D21" s="24" t="s">
        <v>63</v>
      </c>
      <c r="E21" s="24" t="s">
        <v>64</v>
      </c>
      <c r="F21" s="24" t="s">
        <v>65</v>
      </c>
    </row>
    <row r="22" spans="1:6" x14ac:dyDescent="0.2">
      <c r="A22" s="25" t="s">
        <v>66</v>
      </c>
      <c r="B22" s="9">
        <f>B5</f>
        <v>3.0052545539187698</v>
      </c>
      <c r="C22" s="9">
        <f>B6-B5</f>
        <v>8.553445369329431</v>
      </c>
      <c r="D22" s="9">
        <f>B7-B6</f>
        <v>2.1194117982474499</v>
      </c>
      <c r="E22" s="9">
        <f>B8-B7</f>
        <v>2.0763721623536746</v>
      </c>
      <c r="F22" s="9">
        <f>B9-B8</f>
        <v>6.6949894806985739</v>
      </c>
    </row>
  </sheetData>
  <mergeCells count="1">
    <mergeCell ref="A20:F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75BF-7509-47DD-8E47-F0FB1E4E9381}">
  <dimension ref="A1:D16"/>
  <sheetViews>
    <sheetView zoomScale="77" workbookViewId="0">
      <selection activeCell="K12" sqref="K12"/>
    </sheetView>
  </sheetViews>
  <sheetFormatPr defaultColWidth="10.76171875" defaultRowHeight="15" x14ac:dyDescent="0.2"/>
  <cols>
    <col min="1" max="1" width="25.2890625" customWidth="1"/>
    <col min="2" max="2" width="13.1796875" customWidth="1"/>
    <col min="3" max="3" width="13.98828125" customWidth="1"/>
    <col min="4" max="4" width="15.46875" customWidth="1"/>
  </cols>
  <sheetData>
    <row r="1" spans="1:4" ht="18.75" x14ac:dyDescent="0.25">
      <c r="A1" s="21" t="s">
        <v>67</v>
      </c>
    </row>
    <row r="4" spans="1:4" ht="21" customHeight="1" x14ac:dyDescent="0.2">
      <c r="A4" s="7" t="s">
        <v>68</v>
      </c>
      <c r="B4" s="7" t="s">
        <v>35</v>
      </c>
      <c r="C4" s="7" t="s">
        <v>69</v>
      </c>
      <c r="D4" s="7" t="s">
        <v>36</v>
      </c>
    </row>
    <row r="5" spans="1:4" x14ac:dyDescent="0.2">
      <c r="A5" s="16">
        <v>1</v>
      </c>
      <c r="B5">
        <f>COUNTIF(Datos!$E$2:$E$401,1)</f>
        <v>0</v>
      </c>
      <c r="C5" s="13">
        <f>B5/COUNT(Datos!$E$2:$E$401)</f>
        <v>0</v>
      </c>
      <c r="D5" s="26">
        <f>C5</f>
        <v>0</v>
      </c>
    </row>
    <row r="6" spans="1:4" x14ac:dyDescent="0.2">
      <c r="A6" s="16">
        <v>2</v>
      </c>
      <c r="B6">
        <f>COUNTIF(Datos!$E$2:$E$401,2)</f>
        <v>32</v>
      </c>
      <c r="C6" s="13">
        <f>B6/COUNT(Datos!$E$2:$E$401)</f>
        <v>0.08</v>
      </c>
      <c r="D6" s="26">
        <f>D5+C6</f>
        <v>0.08</v>
      </c>
    </row>
    <row r="7" spans="1:4" x14ac:dyDescent="0.2">
      <c r="A7" s="16">
        <v>3</v>
      </c>
      <c r="B7">
        <f>COUNTIF(Datos!$E$2:$E$401,3)</f>
        <v>106</v>
      </c>
      <c r="C7" s="13">
        <f>B7/COUNT(Datos!$E$2:$E$401)</f>
        <v>0.26500000000000001</v>
      </c>
      <c r="D7" s="26">
        <f>D6+C7</f>
        <v>0.34500000000000003</v>
      </c>
    </row>
    <row r="8" spans="1:4" x14ac:dyDescent="0.2">
      <c r="A8" s="16">
        <v>4</v>
      </c>
      <c r="B8">
        <f>COUNTIF(Datos!$E$2:$E$401,4)</f>
        <v>140</v>
      </c>
      <c r="C8" s="13">
        <f>B8/COUNT(Datos!$E$2:$E$401)</f>
        <v>0.35</v>
      </c>
      <c r="D8" s="26">
        <f t="shared" ref="D8:D9" si="0">D7+C8</f>
        <v>0.69500000000000006</v>
      </c>
    </row>
    <row r="9" spans="1:4" x14ac:dyDescent="0.2">
      <c r="A9" s="16">
        <v>5</v>
      </c>
      <c r="B9">
        <f>COUNTIF(Datos!$E$2:$E$401,5)</f>
        <v>122</v>
      </c>
      <c r="C9" s="13">
        <f>B9/COUNT(Datos!$E$2:$E$401)</f>
        <v>0.30499999999999999</v>
      </c>
      <c r="D9" s="26">
        <f t="shared" si="0"/>
        <v>1</v>
      </c>
    </row>
    <row r="10" spans="1:4" x14ac:dyDescent="0.2">
      <c r="A10" s="17" t="s">
        <v>47</v>
      </c>
      <c r="B10" s="23">
        <f>SUM(B5:B9)</f>
        <v>400</v>
      </c>
      <c r="C10" s="27">
        <f>SUM(C5:C9)</f>
        <v>1</v>
      </c>
    </row>
    <row r="12" spans="1:4" ht="18" customHeight="1" x14ac:dyDescent="0.2">
      <c r="A12" s="8" t="s">
        <v>70</v>
      </c>
      <c r="B12">
        <f>COUNTIF(Datos!E2:E401,"&gt;=4")</f>
        <v>262</v>
      </c>
    </row>
    <row r="13" spans="1:4" x14ac:dyDescent="0.2">
      <c r="A13" s="8" t="s">
        <v>71</v>
      </c>
      <c r="B13">
        <f>COUNT(Datos!E2:E401)</f>
        <v>400</v>
      </c>
    </row>
    <row r="14" spans="1:4" ht="23.25" customHeight="1" x14ac:dyDescent="0.2">
      <c r="A14" s="8" t="s">
        <v>72</v>
      </c>
      <c r="B14" s="13">
        <f>B12/B13</f>
        <v>0.65500000000000003</v>
      </c>
    </row>
    <row r="15" spans="1:4" x14ac:dyDescent="0.2">
      <c r="A15" s="8" t="s">
        <v>73</v>
      </c>
      <c r="B15" s="26">
        <v>0.8</v>
      </c>
    </row>
    <row r="16" spans="1:4" ht="18" customHeight="1" x14ac:dyDescent="0.2">
      <c r="A16" s="17" t="s">
        <v>74</v>
      </c>
      <c r="B16" s="30" t="str">
        <f>IF(B14&gt;=B15,"SÍ CUMPLE","NO CUMPLE")</f>
        <v>NO CUMPLE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4792-8958-47D2-9CC6-0752CD222347}">
  <dimension ref="A1:C12"/>
  <sheetViews>
    <sheetView zoomScale="72" workbookViewId="0">
      <selection activeCell="L10" sqref="L10"/>
    </sheetView>
  </sheetViews>
  <sheetFormatPr defaultColWidth="10.76171875" defaultRowHeight="15" x14ac:dyDescent="0.2"/>
  <cols>
    <col min="1" max="3" width="21.1171875" customWidth="1"/>
  </cols>
  <sheetData>
    <row r="1" spans="1:3" ht="18.75" x14ac:dyDescent="0.25">
      <c r="A1" s="6" t="s">
        <v>75</v>
      </c>
    </row>
    <row r="4" spans="1:3" ht="33" customHeight="1" x14ac:dyDescent="0.2">
      <c r="A4" s="7" t="s">
        <v>10</v>
      </c>
      <c r="B4" s="7" t="s">
        <v>8</v>
      </c>
      <c r="C4" s="7" t="s">
        <v>7</v>
      </c>
    </row>
    <row r="5" spans="1:3" x14ac:dyDescent="0.2">
      <c r="A5" s="8" t="s">
        <v>15</v>
      </c>
      <c r="B5">
        <f>COUNTIF(Datos!B2:B401,"Estructurados")</f>
        <v>202</v>
      </c>
      <c r="C5">
        <f>COUNTIF(Datos!B2:B401,"No Estructurados")</f>
        <v>198</v>
      </c>
    </row>
    <row r="6" spans="1:3" x14ac:dyDescent="0.2">
      <c r="A6" s="8" t="s">
        <v>16</v>
      </c>
      <c r="B6" s="9">
        <f>AVERAGEIF(Datos!B2:B401,"Estructurados",Datos!D2:D401)</f>
        <v>13.67292167289189</v>
      </c>
      <c r="C6" s="9">
        <f>AVERAGEIF(Datos!B2:B401,"No Estructurados",Datos!D2:D401)</f>
        <v>13.549694387588794</v>
      </c>
    </row>
    <row r="7" spans="1:3" x14ac:dyDescent="0.2">
      <c r="A7" s="8" t="s">
        <v>17</v>
      </c>
      <c r="B7" s="9" cm="1">
        <f t="array" ref="B7">MEDIAN(IF(Datos!B2:B401="Estructurados",Datos!D2:D401))</f>
        <v>13.914780042167251</v>
      </c>
      <c r="C7" s="9" cm="1">
        <f t="array" ref="C7">MEDIAN(IF(Datos!B2:B401="No Estructurados",Datos!D2:D401))</f>
        <v>13.505358602472601</v>
      </c>
    </row>
    <row r="8" spans="1:3" x14ac:dyDescent="0.2">
      <c r="A8" s="8" t="s">
        <v>76</v>
      </c>
      <c r="B8" s="9" cm="1">
        <f t="array" ref="B8">_xlfn.STDEV.S(IF(Datos!B2:B401="Estructurados",Datos!D2:D401))</f>
        <v>3.2823436293896129</v>
      </c>
      <c r="C8" s="9" cm="1">
        <f t="array" ref="C8">_xlfn.STDEV.S(IF(Datos!B2:B401="No Estructurados",Datos!D2:D401))</f>
        <v>2.9468422212715555</v>
      </c>
    </row>
    <row r="9" spans="1:3" x14ac:dyDescent="0.2">
      <c r="A9" s="8" t="s">
        <v>19</v>
      </c>
      <c r="B9" s="9">
        <f>_xlfn.MINIFS(Datos!D2:D401,Datos!B2:B401,"Estructurados")</f>
        <v>3.0052545539187698</v>
      </c>
      <c r="C9" s="9">
        <f>_xlfn.MINIFS(Datos!D2:D401,Datos!B2:B401,"No Estructurados")</f>
        <v>4.2387432682255399</v>
      </c>
    </row>
    <row r="10" spans="1:3" x14ac:dyDescent="0.2">
      <c r="A10" s="8" t="s">
        <v>20</v>
      </c>
      <c r="B10" s="9">
        <f>_xlfn.MAXIFS(Datos!D2:D401,Datos!B2:B401,"Estructurados")</f>
        <v>22.449473364547899</v>
      </c>
      <c r="C10" s="9">
        <f>_xlfn.MAXIFS(Datos!D2:D401,Datos!B2:B401,"No Estructurados")</f>
        <v>19.867427018916999</v>
      </c>
    </row>
    <row r="12" spans="1:3" ht="27.75" x14ac:dyDescent="0.2">
      <c r="A12" s="17" t="s">
        <v>77</v>
      </c>
      <c r="B12" s="31">
        <f>B6-C6</f>
        <v>0.12322728530309668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CE93-094C-4EEC-BFEB-92F9E1E2ACA8}">
  <dimension ref="A1:B12"/>
  <sheetViews>
    <sheetView topLeftCell="A7" zoomScale="73" workbookViewId="0">
      <selection activeCell="G11" sqref="G11"/>
    </sheetView>
  </sheetViews>
  <sheetFormatPr defaultColWidth="10.76171875" defaultRowHeight="15" x14ac:dyDescent="0.2"/>
  <cols>
    <col min="1" max="1" width="22.734375" customWidth="1"/>
    <col min="2" max="2" width="25.421875" customWidth="1"/>
  </cols>
  <sheetData>
    <row r="1" spans="1:2" ht="18.75" x14ac:dyDescent="0.25">
      <c r="A1" s="6" t="s">
        <v>78</v>
      </c>
    </row>
    <row r="4" spans="1:2" x14ac:dyDescent="0.2">
      <c r="A4" s="7" t="s">
        <v>79</v>
      </c>
      <c r="B4" s="7" t="s">
        <v>50</v>
      </c>
    </row>
    <row r="5" spans="1:2" ht="23.25" customHeight="1" x14ac:dyDescent="0.2">
      <c r="A5" s="8" t="s">
        <v>80</v>
      </c>
      <c r="B5" s="11">
        <f>SLOPE(Datos!D2:D401,Datos!C2:C401)</f>
        <v>0.29134837288306809</v>
      </c>
    </row>
    <row r="6" spans="1:2" ht="22.5" customHeight="1" x14ac:dyDescent="0.2">
      <c r="A6" s="8" t="s">
        <v>81</v>
      </c>
      <c r="B6" s="11">
        <f>INTERCEPT(Datos!D2:D401,Datos!C2:C401)</f>
        <v>9.2821160788103949</v>
      </c>
    </row>
    <row r="7" spans="1:2" ht="18.75" customHeight="1" x14ac:dyDescent="0.2">
      <c r="A7" s="8" t="s">
        <v>82</v>
      </c>
      <c r="B7" s="11">
        <f>CORREL(Datos!C2:C401,Datos!D2:D401)</f>
        <v>0.38811930448595733</v>
      </c>
    </row>
    <row r="8" spans="1:2" ht="28.5" customHeight="1" x14ac:dyDescent="0.2">
      <c r="A8" s="8" t="s">
        <v>83</v>
      </c>
      <c r="B8" s="11">
        <f>RSQ(Datos!D2:D401,Datos!C2:C401)</f>
        <v>0.15063659451466327</v>
      </c>
    </row>
    <row r="9" spans="1:2" ht="21.75" customHeight="1" x14ac:dyDescent="0.2">
      <c r="A9" s="8" t="s">
        <v>84</v>
      </c>
      <c r="B9" s="11">
        <f>STEYX(Datos!D2:D401,Datos!C2:C401)</f>
        <v>2.8767120040344478</v>
      </c>
    </row>
    <row r="10" spans="1:2" x14ac:dyDescent="0.2">
      <c r="A10" s="8" t="s">
        <v>85</v>
      </c>
      <c r="B10" s="11">
        <f>_xlfn.COVARIANCE.S(Datos!C2:C401,Datos!D2:D401)</f>
        <v>5.0248985016713101</v>
      </c>
    </row>
    <row r="11" spans="1:2" ht="21.75" customHeight="1" x14ac:dyDescent="0.2">
      <c r="A11" s="17" t="s">
        <v>86</v>
      </c>
      <c r="B11" s="23" t="str">
        <f>CONCATENATE("Tiempo = ",TEXT(B6,"0.000")," + ",TEXT(B5,"0.000")," · GB")</f>
        <v>Tiempo = 9.282 + 0.291 · GB</v>
      </c>
    </row>
    <row r="12" spans="1:2" x14ac:dyDescent="0.2">
      <c r="A12" s="8" t="s">
        <v>87</v>
      </c>
      <c r="B12" s="28" t="str">
        <f>IF(ABS(B7)&lt;0.3,"Débil",IF(ABS(B7)&lt;0.7,"Moderada","Fuerte"))</f>
        <v>Moderada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5AF7-A253-4C1D-9CE0-B2F6C891E3BB}">
  <dimension ref="A1:Q402"/>
  <sheetViews>
    <sheetView zoomScale="78" workbookViewId="0">
      <selection activeCell="K7" sqref="K7"/>
    </sheetView>
  </sheetViews>
  <sheetFormatPr defaultColWidth="10.76171875" defaultRowHeight="15" x14ac:dyDescent="0.2"/>
  <sheetData>
    <row r="1" spans="1:17" ht="36.75" customHeight="1" x14ac:dyDescent="0.25">
      <c r="A1" s="43" t="s">
        <v>135</v>
      </c>
      <c r="B1" s="44" t="s">
        <v>136</v>
      </c>
      <c r="C1" s="43" t="s">
        <v>137</v>
      </c>
      <c r="D1" s="44" t="s">
        <v>138</v>
      </c>
      <c r="E1" s="44" t="s">
        <v>139</v>
      </c>
      <c r="F1" s="44" t="s">
        <v>140</v>
      </c>
      <c r="H1" s="67" t="s">
        <v>176</v>
      </c>
      <c r="I1" s="68"/>
      <c r="J1" s="68"/>
      <c r="K1" s="68"/>
      <c r="L1" s="68"/>
      <c r="M1" s="68"/>
      <c r="N1" s="68"/>
      <c r="O1" s="68"/>
      <c r="P1" s="68"/>
      <c r="Q1" s="68"/>
    </row>
    <row r="2" spans="1:17" ht="75" customHeight="1" thickBot="1" x14ac:dyDescent="0.25">
      <c r="A2" s="45" t="s">
        <v>2</v>
      </c>
      <c r="B2" s="45" t="s">
        <v>141</v>
      </c>
      <c r="C2" s="45" t="s">
        <v>4</v>
      </c>
      <c r="D2" s="45" t="s">
        <v>5</v>
      </c>
      <c r="E2" s="45" t="s">
        <v>6</v>
      </c>
      <c r="F2" s="45" t="s">
        <v>3</v>
      </c>
    </row>
    <row r="3" spans="1:17" ht="21.75" thickBot="1" x14ac:dyDescent="0.25">
      <c r="A3" s="46">
        <v>18.24835707650562</v>
      </c>
      <c r="B3" s="47">
        <f>IF([2]Datos!B2="Estructurados",1,0)</f>
        <v>0</v>
      </c>
      <c r="C3" s="48">
        <v>3</v>
      </c>
      <c r="D3" s="47">
        <v>11</v>
      </c>
      <c r="E3" s="47">
        <v>2</v>
      </c>
      <c r="F3" s="47">
        <v>12.65040246790244</v>
      </c>
      <c r="H3" s="93" t="s">
        <v>142</v>
      </c>
      <c r="I3" s="94"/>
      <c r="J3" s="94"/>
      <c r="K3" s="95"/>
      <c r="L3" s="94"/>
      <c r="M3" s="94"/>
      <c r="N3" s="94"/>
      <c r="O3" s="96"/>
    </row>
    <row r="4" spans="1:17" ht="25.5" thickBot="1" x14ac:dyDescent="0.4">
      <c r="A4" s="46">
        <v>9.9308678494144083</v>
      </c>
      <c r="B4" s="47">
        <f>IF([2]Datos!B3="Estructurados",1,0)</f>
        <v>0</v>
      </c>
      <c r="C4" s="48">
        <v>4</v>
      </c>
      <c r="D4" s="47">
        <v>5</v>
      </c>
      <c r="E4" s="47">
        <v>4</v>
      </c>
      <c r="F4" s="47">
        <v>7.8465119664020389</v>
      </c>
      <c r="H4" s="49" t="s">
        <v>143</v>
      </c>
      <c r="I4" s="50"/>
      <c r="J4" s="51"/>
      <c r="K4" s="52"/>
      <c r="L4" s="53"/>
      <c r="M4" s="53"/>
      <c r="N4" s="54"/>
      <c r="O4" s="55"/>
    </row>
    <row r="5" spans="1:17" x14ac:dyDescent="0.2">
      <c r="A5" s="46">
        <v>16.323844269050351</v>
      </c>
      <c r="B5" s="47">
        <f>IF([2]Datos!B4="Estructurados",1,0)</f>
        <v>0</v>
      </c>
      <c r="C5" s="48">
        <v>4</v>
      </c>
      <c r="D5" s="47">
        <v>20</v>
      </c>
      <c r="E5" s="48">
        <v>5</v>
      </c>
      <c r="F5" s="48">
        <v>18.293436851921332</v>
      </c>
    </row>
    <row r="6" spans="1:17" x14ac:dyDescent="0.2">
      <c r="A6" s="46">
        <v>19.761514928204011</v>
      </c>
      <c r="B6" s="47">
        <f>IF([2]Datos!B5="Estructurados",1,0)</f>
        <v>1</v>
      </c>
      <c r="C6" s="48">
        <v>5</v>
      </c>
      <c r="D6" s="47">
        <v>11</v>
      </c>
      <c r="E6" s="48">
        <v>1</v>
      </c>
      <c r="F6" s="48">
        <v>16.354213761904319</v>
      </c>
    </row>
    <row r="7" spans="1:17" x14ac:dyDescent="0.2">
      <c r="A7" s="46">
        <v>10.882923312638329</v>
      </c>
      <c r="B7" s="47">
        <f>IF([2]Datos!B6="Estructurados",1,0)</f>
        <v>1</v>
      </c>
      <c r="C7" s="48">
        <v>5</v>
      </c>
      <c r="D7" s="47">
        <v>10</v>
      </c>
      <c r="E7" s="47">
        <v>5</v>
      </c>
      <c r="F7" s="47">
        <v>12.844000643802531</v>
      </c>
      <c r="H7" t="s">
        <v>144</v>
      </c>
    </row>
    <row r="8" spans="1:17" ht="15.75" thickBot="1" x14ac:dyDescent="0.25">
      <c r="A8" s="46">
        <v>12.882931521525411</v>
      </c>
      <c r="B8" s="47">
        <f>IF([2]Datos!B7="Estructurados",1,0)</f>
        <v>0</v>
      </c>
      <c r="C8" s="48">
        <v>3</v>
      </c>
      <c r="D8" s="47">
        <v>8</v>
      </c>
      <c r="E8" s="47">
        <v>2</v>
      </c>
      <c r="F8" s="47">
        <v>12.09461332508755</v>
      </c>
    </row>
    <row r="9" spans="1:17" x14ac:dyDescent="0.2">
      <c r="A9" s="46">
        <v>14.78960640775369</v>
      </c>
      <c r="B9" s="47">
        <f>IF([2]Datos!B8="Estructurados",1,0)</f>
        <v>1</v>
      </c>
      <c r="C9" s="48">
        <v>2</v>
      </c>
      <c r="D9" s="47">
        <v>6</v>
      </c>
      <c r="E9" s="47">
        <v>5</v>
      </c>
      <c r="F9" s="47">
        <v>11.389638858607681</v>
      </c>
      <c r="H9" s="56" t="s">
        <v>145</v>
      </c>
      <c r="I9" s="56"/>
    </row>
    <row r="10" spans="1:17" x14ac:dyDescent="0.2">
      <c r="A10" s="46">
        <v>16.383717364576459</v>
      </c>
      <c r="B10" s="47">
        <f>IF([2]Datos!B9="Estructurados",1,0)</f>
        <v>0</v>
      </c>
      <c r="C10" s="48">
        <v>5</v>
      </c>
      <c r="D10" s="47">
        <v>6</v>
      </c>
      <c r="E10" s="47">
        <v>1</v>
      </c>
      <c r="F10" s="47">
        <v>9.9412842031688946</v>
      </c>
      <c r="H10" t="s">
        <v>146</v>
      </c>
      <c r="I10">
        <v>0.59392545013302045</v>
      </c>
    </row>
    <row r="11" spans="1:17" x14ac:dyDescent="0.2">
      <c r="A11" s="46">
        <v>11.765262807032521</v>
      </c>
      <c r="B11" s="47">
        <f>IF([2]Datos!B10="Estructurados",1,0)</f>
        <v>1</v>
      </c>
      <c r="C11" s="48">
        <v>4</v>
      </c>
      <c r="D11" s="47">
        <v>8</v>
      </c>
      <c r="E11" s="47">
        <v>2</v>
      </c>
      <c r="F11" s="47">
        <v>17.777647854780032</v>
      </c>
      <c r="H11" t="s">
        <v>147</v>
      </c>
      <c r="I11">
        <v>0.35274744031571093</v>
      </c>
    </row>
    <row r="12" spans="1:17" ht="27.75" x14ac:dyDescent="0.2">
      <c r="A12" s="48">
        <v>14.271280021792981</v>
      </c>
      <c r="B12" s="48">
        <f>IF([2]Datos!B11="Estructurados",1,0)</f>
        <v>0</v>
      </c>
      <c r="C12" s="48">
        <v>3</v>
      </c>
      <c r="D12" s="48">
        <v>15</v>
      </c>
      <c r="E12" s="48">
        <v>5</v>
      </c>
      <c r="F12" s="48">
        <v>17.904702937757719</v>
      </c>
      <c r="H12" s="57" t="s">
        <v>148</v>
      </c>
      <c r="I12" s="58">
        <v>0.34453357534509799</v>
      </c>
      <c r="J12" s="64"/>
      <c r="K12" s="64"/>
      <c r="L12" s="64"/>
      <c r="M12" s="64"/>
      <c r="N12" s="64"/>
      <c r="O12" s="64"/>
    </row>
    <row r="13" spans="1:17" x14ac:dyDescent="0.2">
      <c r="A13" s="46">
        <v>10.76829115359377</v>
      </c>
      <c r="B13" s="47">
        <f>IF([2]Datos!B12="Estructurados",1,0)</f>
        <v>0</v>
      </c>
      <c r="C13" s="48">
        <v>5</v>
      </c>
      <c r="D13" s="47">
        <v>14</v>
      </c>
      <c r="E13" s="47">
        <v>4</v>
      </c>
      <c r="F13" s="47">
        <v>11.19785521820382</v>
      </c>
      <c r="H13" t="s">
        <v>150</v>
      </c>
      <c r="I13">
        <v>2.5239452287364501</v>
      </c>
    </row>
    <row r="14" spans="1:17" ht="15.75" thickBot="1" x14ac:dyDescent="0.25">
      <c r="A14" s="46">
        <v>15.767135123214871</v>
      </c>
      <c r="B14" s="47">
        <f>IF([2]Datos!B13="Estructurados",1,0)</f>
        <v>1</v>
      </c>
      <c r="C14" s="48">
        <v>4</v>
      </c>
      <c r="D14" s="47">
        <v>11</v>
      </c>
      <c r="E14" s="47">
        <v>2</v>
      </c>
      <c r="F14" s="47">
        <v>13.224495104306291</v>
      </c>
      <c r="H14" s="59" t="s">
        <v>151</v>
      </c>
      <c r="I14" s="59">
        <v>400</v>
      </c>
    </row>
    <row r="15" spans="1:17" x14ac:dyDescent="0.2">
      <c r="A15" s="46">
        <v>16.120981135783019</v>
      </c>
      <c r="B15" s="47">
        <f>IF([2]Datos!B14="Estructurados",1,0)</f>
        <v>1</v>
      </c>
      <c r="C15" s="48">
        <v>5</v>
      </c>
      <c r="D15" s="47">
        <v>12</v>
      </c>
      <c r="E15" s="47">
        <v>2</v>
      </c>
      <c r="F15" s="47">
        <v>11.319782517736559</v>
      </c>
    </row>
    <row r="16" spans="1:17" ht="15.75" thickBot="1" x14ac:dyDescent="0.25">
      <c r="A16" s="46">
        <v>12.043359877671101</v>
      </c>
      <c r="B16" s="47">
        <f>IF([2]Datos!B15="Estructurados",1,0)</f>
        <v>0</v>
      </c>
      <c r="C16" s="48">
        <v>4</v>
      </c>
      <c r="D16" s="47">
        <v>13</v>
      </c>
      <c r="E16" s="47">
        <v>4</v>
      </c>
      <c r="F16" s="47">
        <v>16.053874715719651</v>
      </c>
      <c r="H16" t="s">
        <v>152</v>
      </c>
    </row>
    <row r="17" spans="1:17" x14ac:dyDescent="0.2">
      <c r="A17" s="46">
        <v>16.137541083743479</v>
      </c>
      <c r="B17" s="47">
        <f>IF([2]Datos!B16="Estructurados",1,0)</f>
        <v>0</v>
      </c>
      <c r="C17" s="48">
        <v>5</v>
      </c>
      <c r="D17" s="47">
        <v>8</v>
      </c>
      <c r="E17" s="47">
        <v>3</v>
      </c>
      <c r="F17" s="47">
        <v>14.691367565359011</v>
      </c>
      <c r="H17" s="60"/>
      <c r="I17" s="60" t="s">
        <v>153</v>
      </c>
      <c r="J17" s="60" t="s">
        <v>154</v>
      </c>
      <c r="K17" s="60" t="s">
        <v>155</v>
      </c>
      <c r="L17" s="60" t="s">
        <v>156</v>
      </c>
      <c r="M17" s="60" t="s">
        <v>157</v>
      </c>
    </row>
    <row r="18" spans="1:17" x14ac:dyDescent="0.2">
      <c r="A18" s="46">
        <v>9.7188562353795138</v>
      </c>
      <c r="B18" s="47">
        <f>IF([2]Datos!B17="Estructurados",1,0)</f>
        <v>1</v>
      </c>
      <c r="C18" s="48">
        <v>5</v>
      </c>
      <c r="D18" s="47">
        <v>18</v>
      </c>
      <c r="E18" s="47">
        <v>1</v>
      </c>
      <c r="F18" s="47">
        <v>14.585083559174009</v>
      </c>
      <c r="H18" t="s">
        <v>158</v>
      </c>
      <c r="I18">
        <v>5</v>
      </c>
      <c r="J18">
        <v>1367.8742327388486</v>
      </c>
      <c r="K18">
        <v>273.57484654776971</v>
      </c>
      <c r="L18">
        <v>42.945366350403219</v>
      </c>
      <c r="M18">
        <v>2.69733736626887E-35</v>
      </c>
    </row>
    <row r="19" spans="1:17" x14ac:dyDescent="0.2">
      <c r="A19" s="46">
        <v>11.493584439832791</v>
      </c>
      <c r="B19" s="47">
        <f>IF([2]Datos!B18="Estructurados",1,0)</f>
        <v>1</v>
      </c>
      <c r="C19" s="48">
        <v>4</v>
      </c>
      <c r="D19" s="47">
        <v>1</v>
      </c>
      <c r="E19" s="47">
        <v>3</v>
      </c>
      <c r="F19" s="47">
        <v>9.6594152362102754</v>
      </c>
      <c r="H19" t="s">
        <v>159</v>
      </c>
      <c r="I19">
        <v>394</v>
      </c>
      <c r="J19">
        <v>2509.8980099586279</v>
      </c>
      <c r="K19">
        <v>6.3702995176614925</v>
      </c>
    </row>
    <row r="20" spans="1:17" ht="15.75" thickBot="1" x14ac:dyDescent="0.25">
      <c r="A20" s="46">
        <v>13.15712366629764</v>
      </c>
      <c r="B20" s="47">
        <f>IF([2]Datos!B19="Estructurados",1,0)</f>
        <v>0</v>
      </c>
      <c r="C20" s="48">
        <v>5</v>
      </c>
      <c r="D20" s="47">
        <v>15</v>
      </c>
      <c r="E20" s="48">
        <v>5</v>
      </c>
      <c r="F20" s="48">
        <v>14.2428104906003</v>
      </c>
      <c r="H20" s="59" t="s">
        <v>47</v>
      </c>
      <c r="I20" s="59">
        <v>399</v>
      </c>
      <c r="J20" s="59">
        <v>3877.7722426974765</v>
      </c>
      <c r="K20" s="59"/>
      <c r="L20" s="59"/>
      <c r="M20" s="59"/>
    </row>
    <row r="21" spans="1:17" ht="15.75" thickBot="1" x14ac:dyDescent="0.25">
      <c r="A21" s="46">
        <v>14.545987962239391</v>
      </c>
      <c r="B21" s="47">
        <f>IF([2]Datos!B20="Estructurados",1,0)</f>
        <v>1</v>
      </c>
      <c r="C21" s="48">
        <v>5</v>
      </c>
      <c r="D21" s="47">
        <v>8</v>
      </c>
      <c r="E21" s="47">
        <v>4</v>
      </c>
      <c r="F21" s="47">
        <v>9.2541405664508591</v>
      </c>
    </row>
    <row r="22" spans="1:17" x14ac:dyDescent="0.2">
      <c r="A22" s="46">
        <v>8.293848149332355</v>
      </c>
      <c r="B22" s="47">
        <f>IF([2]Datos!B21="Estructurados",1,0)</f>
        <v>0</v>
      </c>
      <c r="C22" s="48">
        <v>5</v>
      </c>
      <c r="D22" s="47">
        <v>11</v>
      </c>
      <c r="E22" s="47">
        <v>3</v>
      </c>
      <c r="F22" s="47">
        <v>8.2039121859149571</v>
      </c>
      <c r="H22" s="61"/>
      <c r="I22" s="61" t="s">
        <v>160</v>
      </c>
      <c r="J22" s="60" t="s">
        <v>150</v>
      </c>
      <c r="K22" s="60" t="s">
        <v>161</v>
      </c>
      <c r="L22" s="60" t="s">
        <v>162</v>
      </c>
      <c r="M22" s="60" t="s">
        <v>163</v>
      </c>
      <c r="N22" s="60" t="s">
        <v>164</v>
      </c>
      <c r="O22" s="60" t="s">
        <v>165</v>
      </c>
      <c r="P22" s="60" t="s">
        <v>166</v>
      </c>
    </row>
    <row r="23" spans="1:17" x14ac:dyDescent="0.2">
      <c r="A23" s="46">
        <v>6.7328243844607769</v>
      </c>
      <c r="B23" s="47">
        <f>IF([2]Datos!B22="Estructurados",1,0)</f>
        <v>0</v>
      </c>
      <c r="C23" s="48">
        <v>3</v>
      </c>
      <c r="D23" s="47">
        <v>12</v>
      </c>
      <c r="E23" s="47">
        <v>2</v>
      </c>
      <c r="F23" s="47">
        <v>14.952775638815289</v>
      </c>
      <c r="H23" s="62" t="s">
        <v>167</v>
      </c>
      <c r="I23" s="62">
        <v>7.586503344722769</v>
      </c>
      <c r="J23">
        <v>0.82663113296448487</v>
      </c>
      <c r="K23">
        <v>9.1776162815400681</v>
      </c>
      <c r="L23">
        <v>2.5151436066720594E-18</v>
      </c>
      <c r="M23">
        <v>5.9613438909799479</v>
      </c>
      <c r="N23">
        <v>9.2116627984655892</v>
      </c>
      <c r="O23">
        <v>5.9613438909799479</v>
      </c>
      <c r="P23">
        <v>9.2116627984655892</v>
      </c>
    </row>
    <row r="24" spans="1:17" x14ac:dyDescent="0.2">
      <c r="A24" s="46">
        <v>13.88711184975673</v>
      </c>
      <c r="B24" s="47">
        <f>IF([2]Datos!B23="Estructurados",1,0)</f>
        <v>0</v>
      </c>
      <c r="C24" s="48">
        <v>5</v>
      </c>
      <c r="D24" s="47">
        <v>12</v>
      </c>
      <c r="E24" s="47">
        <v>5</v>
      </c>
      <c r="F24" s="47">
        <v>12.45202911119684</v>
      </c>
      <c r="H24" s="62" t="s">
        <v>2</v>
      </c>
      <c r="I24" s="62">
        <v>0.27307506677651538</v>
      </c>
      <c r="J24">
        <v>3.1174552790615449E-2</v>
      </c>
      <c r="K24">
        <v>8.7595504131408042</v>
      </c>
      <c r="L24">
        <v>5.876327569062664E-17</v>
      </c>
      <c r="M24">
        <v>0.21178579618954607</v>
      </c>
      <c r="N24">
        <v>0.3343643373634847</v>
      </c>
      <c r="O24">
        <v>0.21178579618954607</v>
      </c>
      <c r="P24">
        <v>0.3343643373634847</v>
      </c>
    </row>
    <row r="25" spans="1:17" x14ac:dyDescent="0.2">
      <c r="A25" s="46">
        <v>19.033764102343959</v>
      </c>
      <c r="B25" s="47">
        <f>IF([2]Datos!B24="Estructurados",1,0)</f>
        <v>0</v>
      </c>
      <c r="C25" s="48">
        <v>5</v>
      </c>
      <c r="D25" s="47">
        <v>4</v>
      </c>
      <c r="E25" s="47">
        <v>5</v>
      </c>
      <c r="F25" s="47">
        <v>11.223453100944949</v>
      </c>
      <c r="H25" s="62" t="s">
        <v>141</v>
      </c>
      <c r="I25" s="62">
        <v>0.19969177661650359</v>
      </c>
      <c r="J25">
        <v>0.2534190061749465</v>
      </c>
      <c r="K25">
        <v>0.78799052853457807</v>
      </c>
      <c r="L25">
        <v>0.43117605846809204</v>
      </c>
      <c r="M25">
        <v>-0.29853080080609029</v>
      </c>
      <c r="N25">
        <v>0.69791435403909752</v>
      </c>
      <c r="O25">
        <v>-0.29853080080609029</v>
      </c>
      <c r="P25">
        <v>0.69791435403909752</v>
      </c>
    </row>
    <row r="26" spans="1:17" x14ac:dyDescent="0.2">
      <c r="A26" s="46">
        <v>11.28762590689327</v>
      </c>
      <c r="B26" s="47">
        <f>IF([2]Datos!B25="Estructurados",1,0)</f>
        <v>1</v>
      </c>
      <c r="C26" s="48">
        <v>2</v>
      </c>
      <c r="D26" s="47">
        <v>16</v>
      </c>
      <c r="E26" s="47">
        <v>3</v>
      </c>
      <c r="F26" s="47">
        <v>15.35940447929285</v>
      </c>
      <c r="H26" s="62" t="s">
        <v>4</v>
      </c>
      <c r="I26" s="62">
        <v>-0.44429574827916729</v>
      </c>
      <c r="J26">
        <v>0.1381252389150823</v>
      </c>
      <c r="K26">
        <v>-3.2166152382354603</v>
      </c>
      <c r="L26">
        <v>1.4042784272695107E-3</v>
      </c>
      <c r="M26">
        <v>-0.71585041017329665</v>
      </c>
      <c r="N26">
        <v>-0.17274108638503793</v>
      </c>
      <c r="O26">
        <v>-0.71585041017329665</v>
      </c>
      <c r="P26">
        <v>-0.17274108638503793</v>
      </c>
    </row>
    <row r="27" spans="1:17" x14ac:dyDescent="0.2">
      <c r="A27" s="46">
        <v>9.7278086377374091</v>
      </c>
      <c r="B27" s="47">
        <f>IF([2]Datos!B26="Estructurados",1,0)</f>
        <v>1</v>
      </c>
      <c r="C27" s="48">
        <v>3</v>
      </c>
      <c r="D27" s="47">
        <v>4</v>
      </c>
      <c r="E27" s="47">
        <v>3</v>
      </c>
      <c r="F27" s="47">
        <v>13.3886657418259</v>
      </c>
      <c r="H27" s="62" t="s">
        <v>5</v>
      </c>
      <c r="I27" s="62">
        <v>0.22134912111416094</v>
      </c>
      <c r="J27">
        <v>2.1922580421152426E-2</v>
      </c>
      <c r="K27">
        <v>10.096855245224141</v>
      </c>
      <c r="L27">
        <v>1.800545291274463E-21</v>
      </c>
      <c r="M27">
        <v>0.1782492578243472</v>
      </c>
      <c r="N27">
        <v>0.26444898440397469</v>
      </c>
      <c r="O27">
        <v>0.1782492578243472</v>
      </c>
      <c r="P27">
        <v>0.26444898440397469</v>
      </c>
    </row>
    <row r="28" spans="1:17" ht="15.75" thickBot="1" x14ac:dyDescent="0.25">
      <c r="A28" s="46">
        <v>18.055461294854929</v>
      </c>
      <c r="B28" s="47">
        <f>IF([2]Datos!B27="Estructurados",1,0)</f>
        <v>1</v>
      </c>
      <c r="C28" s="48">
        <v>2</v>
      </c>
      <c r="D28" s="47">
        <v>5</v>
      </c>
      <c r="E28" s="47">
        <v>4</v>
      </c>
      <c r="F28" s="47">
        <v>12.905975100687341</v>
      </c>
      <c r="H28" s="63" t="s">
        <v>6</v>
      </c>
      <c r="I28" s="63">
        <v>0.43060348954896954</v>
      </c>
      <c r="J28" s="59">
        <v>8.8491547982420912E-2</v>
      </c>
      <c r="K28" s="59">
        <v>4.8660408747116746</v>
      </c>
      <c r="L28" s="59">
        <v>1.6496832193004393E-6</v>
      </c>
      <c r="M28" s="59">
        <v>0.25662882292321287</v>
      </c>
      <c r="N28" s="59">
        <v>0.60457815617472621</v>
      </c>
      <c r="O28" s="59">
        <v>0.25662882292321287</v>
      </c>
      <c r="P28" s="59">
        <v>0.60457815617472621</v>
      </c>
    </row>
    <row r="29" spans="1:17" x14ac:dyDescent="0.2">
      <c r="A29" s="46">
        <v>16.424503211288851</v>
      </c>
      <c r="B29" s="47">
        <f>IF([2]Datos!B28="Estructurados",1,0)</f>
        <v>1</v>
      </c>
      <c r="C29" s="48">
        <v>4</v>
      </c>
      <c r="D29" s="47">
        <v>5</v>
      </c>
      <c r="E29" s="47">
        <v>1</v>
      </c>
      <c r="F29" s="47">
        <v>3.0225315056937072</v>
      </c>
    </row>
    <row r="30" spans="1:17" x14ac:dyDescent="0.2">
      <c r="A30" s="46">
        <v>18.18784900917284</v>
      </c>
      <c r="B30" s="47">
        <f>IF([2]Datos!B29="Estructurados",1,0)</f>
        <v>1</v>
      </c>
      <c r="C30" s="48">
        <v>5</v>
      </c>
      <c r="D30" s="47">
        <v>8</v>
      </c>
      <c r="E30" s="47">
        <v>3</v>
      </c>
      <c r="F30" s="47">
        <v>11.70467791664011</v>
      </c>
      <c r="H30" s="97" t="s">
        <v>168</v>
      </c>
      <c r="I30" s="97"/>
      <c r="J30" s="97"/>
      <c r="K30" s="97"/>
      <c r="L30" s="97"/>
      <c r="M30" s="97"/>
      <c r="N30" s="97"/>
      <c r="O30" s="97"/>
      <c r="P30" s="97"/>
      <c r="Q30" s="97"/>
    </row>
    <row r="31" spans="1:17" ht="57.75" customHeight="1" x14ac:dyDescent="0.2">
      <c r="A31" s="46">
        <v>12.6996806550406</v>
      </c>
      <c r="B31" s="48">
        <f>IF([2]Datos!B30="Estructurados",1,0)</f>
        <v>1</v>
      </c>
      <c r="C31" s="48">
        <v>5</v>
      </c>
      <c r="D31" s="48">
        <v>10</v>
      </c>
      <c r="E31" s="48">
        <v>3</v>
      </c>
      <c r="F31" s="48">
        <v>16.054967335676711</v>
      </c>
      <c r="H31" s="65" t="s">
        <v>135</v>
      </c>
      <c r="I31" s="98" t="s">
        <v>2</v>
      </c>
      <c r="J31" s="98"/>
      <c r="K31" s="98"/>
      <c r="L31" s="98"/>
      <c r="M31" s="98"/>
      <c r="N31" s="91" t="s">
        <v>169</v>
      </c>
      <c r="O31" s="91"/>
      <c r="P31" s="91"/>
      <c r="Q31" s="91"/>
    </row>
    <row r="32" spans="1:17" ht="57.75" customHeight="1" x14ac:dyDescent="0.2">
      <c r="A32" s="46">
        <v>19.854153125103359</v>
      </c>
      <c r="B32" s="48">
        <f>IF([2]Datos!B31="Estructurados",1,0)</f>
        <v>1</v>
      </c>
      <c r="C32" s="48">
        <v>4</v>
      </c>
      <c r="D32" s="48">
        <v>17</v>
      </c>
      <c r="E32" s="48">
        <v>2</v>
      </c>
      <c r="F32" s="48">
        <v>15.62671998704592</v>
      </c>
      <c r="H32" s="66" t="s">
        <v>136</v>
      </c>
      <c r="I32" s="90" t="s">
        <v>141</v>
      </c>
      <c r="J32" s="90"/>
      <c r="K32" s="90"/>
      <c r="L32" s="90"/>
      <c r="M32" s="90"/>
      <c r="N32" s="91" t="s">
        <v>170</v>
      </c>
      <c r="O32" s="91"/>
      <c r="P32" s="91"/>
      <c r="Q32" s="91"/>
    </row>
    <row r="33" spans="1:17" ht="57.75" customHeight="1" x14ac:dyDescent="0.2">
      <c r="A33" s="46">
        <v>12.6991466938853</v>
      </c>
      <c r="B33" s="48">
        <f>IF([2]Datos!B32="Estructurados",1,0)</f>
        <v>0</v>
      </c>
      <c r="C33" s="48">
        <v>5</v>
      </c>
      <c r="D33" s="48">
        <v>9</v>
      </c>
      <c r="E33" s="48">
        <v>5</v>
      </c>
      <c r="F33" s="48">
        <v>15.181406050601961</v>
      </c>
      <c r="H33" s="66" t="s">
        <v>137</v>
      </c>
      <c r="I33" s="90" t="s">
        <v>4</v>
      </c>
      <c r="J33" s="90"/>
      <c r="K33" s="90"/>
      <c r="L33" s="90"/>
      <c r="M33" s="90"/>
      <c r="N33" s="92" t="s">
        <v>171</v>
      </c>
      <c r="O33" s="92"/>
      <c r="P33" s="92"/>
      <c r="Q33" s="92"/>
    </row>
    <row r="34" spans="1:17" ht="57.75" customHeight="1" x14ac:dyDescent="0.2">
      <c r="A34" s="46">
        <v>13.92613909225447</v>
      </c>
      <c r="B34" s="48">
        <f>IF([2]Datos!B33="Estructurados",1,0)</f>
        <v>1</v>
      </c>
      <c r="C34" s="48">
        <v>3</v>
      </c>
      <c r="D34" s="48">
        <v>19</v>
      </c>
      <c r="E34" s="48">
        <v>1</v>
      </c>
      <c r="F34" s="48">
        <v>10.242997120236129</v>
      </c>
      <c r="H34" s="66" t="s">
        <v>138</v>
      </c>
      <c r="I34" s="90" t="s">
        <v>5</v>
      </c>
      <c r="J34" s="90"/>
      <c r="K34" s="90"/>
      <c r="L34" s="90"/>
      <c r="M34" s="90"/>
      <c r="N34" s="91" t="s">
        <v>172</v>
      </c>
      <c r="O34" s="91"/>
      <c r="P34" s="91"/>
      <c r="Q34" s="91"/>
    </row>
    <row r="35" spans="1:17" ht="57.75" customHeight="1" x14ac:dyDescent="0.2">
      <c r="A35" s="46">
        <v>17.99325138763103</v>
      </c>
      <c r="B35" s="48">
        <f>IF([2]Datos!B34="Estructurados",1,0)</f>
        <v>1</v>
      </c>
      <c r="C35" s="48">
        <v>2</v>
      </c>
      <c r="D35" s="48">
        <v>14</v>
      </c>
      <c r="E35" s="48">
        <v>2</v>
      </c>
      <c r="F35" s="48">
        <v>11.512924546728611</v>
      </c>
      <c r="H35" s="66" t="s">
        <v>139</v>
      </c>
      <c r="I35" s="90" t="s">
        <v>6</v>
      </c>
      <c r="J35" s="90"/>
      <c r="K35" s="90"/>
      <c r="L35" s="90"/>
      <c r="M35" s="90"/>
      <c r="N35" s="92" t="s">
        <v>173</v>
      </c>
      <c r="O35" s="92"/>
      <c r="P35" s="92"/>
      <c r="Q35" s="92"/>
    </row>
    <row r="36" spans="1:17" ht="57.75" customHeight="1" x14ac:dyDescent="0.2">
      <c r="A36" s="46">
        <v>20.47114453552205</v>
      </c>
      <c r="B36" s="48">
        <f>IF([2]Datos!B35="Estructurados",1,0)</f>
        <v>0</v>
      </c>
      <c r="C36" s="48">
        <v>4</v>
      </c>
      <c r="D36" s="48">
        <v>8</v>
      </c>
      <c r="E36" s="48">
        <v>4</v>
      </c>
      <c r="F36" s="48">
        <v>16.758650960675968</v>
      </c>
      <c r="H36" s="66" t="s">
        <v>174</v>
      </c>
      <c r="I36" s="90" t="s">
        <v>3</v>
      </c>
      <c r="J36" s="90"/>
      <c r="K36" s="90"/>
      <c r="L36" s="90"/>
      <c r="M36" s="90"/>
      <c r="N36" s="91" t="s">
        <v>175</v>
      </c>
      <c r="O36" s="91"/>
      <c r="P36" s="91"/>
      <c r="Q36" s="91"/>
    </row>
    <row r="37" spans="1:17" x14ac:dyDescent="0.2">
      <c r="A37" s="46">
        <v>10.4112724560516</v>
      </c>
      <c r="B37" s="47">
        <f>IF([2]Datos!B36="Estructurados",1,0)</f>
        <v>1</v>
      </c>
      <c r="C37" s="48">
        <v>4</v>
      </c>
      <c r="D37" s="47">
        <v>9</v>
      </c>
      <c r="E37" s="47">
        <v>4</v>
      </c>
      <c r="F37" s="47">
        <v>13.65170678067982</v>
      </c>
    </row>
    <row r="38" spans="1:17" x14ac:dyDescent="0.2">
      <c r="A38" s="46">
        <v>17.389578175014488</v>
      </c>
      <c r="B38" s="47">
        <f>IF([2]Datos!B37="Estructurados",1,0)</f>
        <v>1</v>
      </c>
      <c r="C38" s="48">
        <v>4</v>
      </c>
      <c r="D38" s="47">
        <v>11</v>
      </c>
      <c r="E38" s="47">
        <v>3</v>
      </c>
      <c r="F38" s="47">
        <v>15.315752147236941</v>
      </c>
    </row>
    <row r="39" spans="1:17" x14ac:dyDescent="0.2">
      <c r="A39" s="46">
        <v>18.104431797502379</v>
      </c>
      <c r="B39" s="47">
        <f>IF([2]Datos!B38="Estructurados",1,0)</f>
        <v>0</v>
      </c>
      <c r="C39" s="48">
        <v>2</v>
      </c>
      <c r="D39" s="47">
        <v>1</v>
      </c>
      <c r="E39" s="47">
        <v>3</v>
      </c>
      <c r="F39" s="47">
        <v>16.972522488526309</v>
      </c>
    </row>
    <row r="40" spans="1:17" x14ac:dyDescent="0.2">
      <c r="A40" s="46">
        <v>14.020164938060111</v>
      </c>
      <c r="B40" s="47">
        <f>IF([2]Datos!B39="Estructurados",1,0)</f>
        <v>1</v>
      </c>
      <c r="C40" s="48">
        <v>4</v>
      </c>
      <c r="D40" s="47">
        <v>14</v>
      </c>
      <c r="E40" s="47">
        <v>4</v>
      </c>
      <c r="F40" s="47">
        <v>14.58814128903018</v>
      </c>
    </row>
    <row r="41" spans="1:17" x14ac:dyDescent="0.2">
      <c r="A41" s="46">
        <v>12.335906975550779</v>
      </c>
      <c r="B41" s="47">
        <f>IF([2]Datos!B40="Estructurados",1,0)</f>
        <v>1</v>
      </c>
      <c r="C41" s="48">
        <v>3</v>
      </c>
      <c r="D41" s="47">
        <v>5</v>
      </c>
      <c r="E41" s="47">
        <v>3</v>
      </c>
      <c r="F41" s="47">
        <v>12.12167627530229</v>
      </c>
    </row>
    <row r="42" spans="1:17" x14ac:dyDescent="0.2">
      <c r="A42" s="46">
        <v>21.098430617934561</v>
      </c>
      <c r="B42" s="47">
        <f>IF([2]Datos!B41="Estructurados",1,0)</f>
        <v>1</v>
      </c>
      <c r="C42" s="48">
        <v>5</v>
      </c>
      <c r="D42" s="47">
        <v>14</v>
      </c>
      <c r="E42" s="47">
        <v>1</v>
      </c>
      <c r="F42" s="47">
        <v>16.648634145275171</v>
      </c>
    </row>
    <row r="43" spans="1:17" x14ac:dyDescent="0.2">
      <c r="A43" s="46">
        <v>14.369233289997711</v>
      </c>
      <c r="B43" s="47">
        <f>IF([2]Datos!B42="Estructurados",1,0)</f>
        <v>0</v>
      </c>
      <c r="C43" s="48">
        <v>4</v>
      </c>
      <c r="D43" s="47">
        <v>4</v>
      </c>
      <c r="E43" s="47">
        <v>3</v>
      </c>
      <c r="F43" s="47">
        <v>13.424887394725021</v>
      </c>
    </row>
    <row r="44" spans="1:17" x14ac:dyDescent="0.2">
      <c r="A44" s="46">
        <v>12.08568414059499</v>
      </c>
      <c r="B44" s="47">
        <f>IF([2]Datos!B43="Estructurados",1,0)</f>
        <v>1</v>
      </c>
      <c r="C44" s="48">
        <v>3</v>
      </c>
      <c r="D44" s="47">
        <v>1</v>
      </c>
      <c r="E44" s="47">
        <v>5</v>
      </c>
      <c r="F44" s="47">
        <v>13.920728505627631</v>
      </c>
    </row>
    <row r="45" spans="1:17" x14ac:dyDescent="0.2">
      <c r="A45" s="46">
        <v>11.94217585880588</v>
      </c>
      <c r="B45" s="47">
        <f>IF([2]Datos!B44="Estructurados",1,0)</f>
        <v>1</v>
      </c>
      <c r="C45" s="48">
        <v>3</v>
      </c>
      <c r="D45" s="47">
        <v>19</v>
      </c>
      <c r="E45" s="47">
        <v>3</v>
      </c>
      <c r="F45" s="47">
        <v>15.87409259191849</v>
      </c>
    </row>
    <row r="46" spans="1:17" x14ac:dyDescent="0.2">
      <c r="A46" s="46">
        <v>21.849448152205351</v>
      </c>
      <c r="B46" s="47">
        <f>IF([2]Datos!B45="Estructurados",1,0)</f>
        <v>0</v>
      </c>
      <c r="C46" s="48">
        <v>3</v>
      </c>
      <c r="D46" s="47">
        <v>8</v>
      </c>
      <c r="E46" s="47">
        <v>2</v>
      </c>
      <c r="F46" s="47">
        <v>19.066837975443249</v>
      </c>
    </row>
    <row r="47" spans="1:17" x14ac:dyDescent="0.2">
      <c r="A47" s="46">
        <v>18.260739004816291</v>
      </c>
      <c r="B47" s="47">
        <f>IF([2]Datos!B46="Estructurados",1,0)</f>
        <v>1</v>
      </c>
      <c r="C47" s="48">
        <v>4</v>
      </c>
      <c r="D47" s="47">
        <v>15</v>
      </c>
      <c r="E47" s="47">
        <v>1</v>
      </c>
      <c r="F47" s="47">
        <v>12.4638930373874</v>
      </c>
    </row>
    <row r="48" spans="1:17" x14ac:dyDescent="0.2">
      <c r="A48" s="46">
        <v>20.640077895802641</v>
      </c>
      <c r="B48" s="47">
        <f>IF([2]Datos!B47="Estructurados",1,0)</f>
        <v>0</v>
      </c>
      <c r="C48" s="48">
        <v>5</v>
      </c>
      <c r="D48" s="47">
        <v>15</v>
      </c>
      <c r="E48" s="47">
        <v>2</v>
      </c>
      <c r="F48" s="47">
        <v>17.070176052707829</v>
      </c>
    </row>
    <row r="49" spans="1:6" x14ac:dyDescent="0.2">
      <c r="A49" s="46">
        <v>12.76968061452011</v>
      </c>
      <c r="B49" s="47">
        <f>IF([2]Datos!B48="Estructurados",1,0)</f>
        <v>0</v>
      </c>
      <c r="C49" s="48">
        <v>3</v>
      </c>
      <c r="D49" s="47">
        <v>9</v>
      </c>
      <c r="E49" s="47">
        <v>2</v>
      </c>
      <c r="F49" s="47">
        <v>12.130810350774491</v>
      </c>
    </row>
    <row r="50" spans="1:6" x14ac:dyDescent="0.2">
      <c r="A50" s="46">
        <v>12.528561113109459</v>
      </c>
      <c r="B50" s="47">
        <f>IF([2]Datos!B49="Estructurados",1,0)</f>
        <v>1</v>
      </c>
      <c r="C50" s="48">
        <v>5</v>
      </c>
      <c r="D50" s="47">
        <v>9</v>
      </c>
      <c r="E50" s="47">
        <v>5</v>
      </c>
      <c r="F50" s="47">
        <v>9.6581866813726513</v>
      </c>
    </row>
    <row r="51" spans="1:6" x14ac:dyDescent="0.2">
      <c r="A51" s="46">
        <v>14.17180914478423</v>
      </c>
      <c r="B51" s="47">
        <f>IF([2]Datos!B50="Estructurados",1,0)</f>
        <v>0</v>
      </c>
      <c r="C51" s="48">
        <v>3</v>
      </c>
      <c r="D51" s="47">
        <v>10</v>
      </c>
      <c r="E51" s="47">
        <v>1</v>
      </c>
      <c r="F51" s="47">
        <v>10.916442355163319</v>
      </c>
    </row>
    <row r="52" spans="1:6" x14ac:dyDescent="0.2">
      <c r="A52" s="46">
        <v>9.1184799223186328</v>
      </c>
      <c r="B52" s="47">
        <f>IF([2]Datos!B51="Estructurados",1,0)</f>
        <v>0</v>
      </c>
      <c r="C52" s="48">
        <v>3</v>
      </c>
      <c r="D52" s="47">
        <v>20</v>
      </c>
      <c r="E52" s="47">
        <v>1</v>
      </c>
      <c r="F52" s="47">
        <v>14.295939328581531</v>
      </c>
    </row>
    <row r="53" spans="1:6" x14ac:dyDescent="0.2">
      <c r="A53" s="46">
        <v>23.162041984697399</v>
      </c>
      <c r="B53" s="47">
        <f>IF([2]Datos!B52="Estructurados",1,0)</f>
        <v>1</v>
      </c>
      <c r="C53" s="48">
        <v>4</v>
      </c>
      <c r="D53" s="47">
        <v>9</v>
      </c>
      <c r="E53" s="47">
        <v>1</v>
      </c>
      <c r="F53" s="47">
        <v>16.001756018873781</v>
      </c>
    </row>
    <row r="54" spans="1:6" x14ac:dyDescent="0.2">
      <c r="A54" s="46">
        <v>14.80745885979184</v>
      </c>
      <c r="B54" s="47">
        <f>IF([2]Datos!B53="Estructurados",1,0)</f>
        <v>0</v>
      </c>
      <c r="C54" s="48">
        <v>3</v>
      </c>
      <c r="D54" s="47">
        <v>3</v>
      </c>
      <c r="E54" s="47">
        <v>1</v>
      </c>
      <c r="F54" s="47">
        <v>13.569629697446871</v>
      </c>
    </row>
    <row r="55" spans="1:6" x14ac:dyDescent="0.2">
      <c r="A55" s="46">
        <v>24.661538999847021</v>
      </c>
      <c r="B55" s="47">
        <f>IF([2]Datos!B54="Estructurados",1,0)</f>
        <v>0</v>
      </c>
      <c r="C55" s="48">
        <v>3</v>
      </c>
      <c r="D55" s="47">
        <v>20</v>
      </c>
      <c r="E55" s="47">
        <v>1</v>
      </c>
      <c r="F55" s="47">
        <v>17.04570764864172</v>
      </c>
    </row>
    <row r="56" spans="1:6" x14ac:dyDescent="0.2">
      <c r="A56" s="46">
        <v>15.305838144420431</v>
      </c>
      <c r="B56" s="47">
        <f>IF([2]Datos!B55="Estructurados",1,0)</f>
        <v>1</v>
      </c>
      <c r="C56" s="48">
        <v>3</v>
      </c>
      <c r="D56" s="47">
        <v>11</v>
      </c>
      <c r="E56" s="47">
        <v>5</v>
      </c>
      <c r="F56" s="47">
        <v>15.061369438808491</v>
      </c>
    </row>
    <row r="57" spans="1:6" x14ac:dyDescent="0.2">
      <c r="A57" s="46">
        <v>12.51549976124798</v>
      </c>
      <c r="B57" s="47">
        <f>IF([2]Datos!B56="Estructurados",1,0)</f>
        <v>1</v>
      </c>
      <c r="C57" s="48">
        <v>5</v>
      </c>
      <c r="D57" s="47">
        <v>6</v>
      </c>
      <c r="E57" s="47">
        <v>3</v>
      </c>
      <c r="F57" s="47">
        <v>12.87320140682939</v>
      </c>
    </row>
    <row r="58" spans="1:6" x14ac:dyDescent="0.2">
      <c r="A58" s="46">
        <v>16.465640059558101</v>
      </c>
      <c r="B58" s="47">
        <f>IF([2]Datos!B57="Estructurados",1,0)</f>
        <v>1</v>
      </c>
      <c r="C58" s="48">
        <v>4</v>
      </c>
      <c r="D58" s="47">
        <v>2</v>
      </c>
      <c r="E58" s="47">
        <v>2</v>
      </c>
      <c r="F58" s="47">
        <v>7.5215063682930889</v>
      </c>
    </row>
    <row r="59" spans="1:6" x14ac:dyDescent="0.2">
      <c r="A59" s="46">
        <v>6.5803912383886809</v>
      </c>
      <c r="B59" s="47">
        <f>IF([2]Datos!B58="Estructurados",1,0)</f>
        <v>0</v>
      </c>
      <c r="C59" s="48">
        <v>3</v>
      </c>
      <c r="D59" s="47">
        <v>7</v>
      </c>
      <c r="E59" s="47">
        <v>1</v>
      </c>
      <c r="F59" s="47">
        <v>10.28668399410321</v>
      </c>
    </row>
    <row r="60" spans="1:6" x14ac:dyDescent="0.2">
      <c r="A60" s="46">
        <v>20.845393812074391</v>
      </c>
      <c r="B60" s="47">
        <f>IF([2]Datos!B59="Estructurados",1,0)</f>
        <v>1</v>
      </c>
      <c r="C60" s="48">
        <v>4</v>
      </c>
      <c r="D60" s="47">
        <v>18</v>
      </c>
      <c r="E60" s="47">
        <v>3</v>
      </c>
      <c r="F60" s="47">
        <v>16.300220744623338</v>
      </c>
    </row>
    <row r="61" spans="1:6" x14ac:dyDescent="0.2">
      <c r="A61" s="46">
        <v>10.16563171570178</v>
      </c>
      <c r="B61" s="47">
        <f>IF([2]Datos!B60="Estructurados",1,0)</f>
        <v>0</v>
      </c>
      <c r="C61" s="48">
        <v>4</v>
      </c>
      <c r="D61" s="47">
        <v>2</v>
      </c>
      <c r="E61" s="47">
        <v>3</v>
      </c>
      <c r="F61" s="47">
        <v>11.79570615895107</v>
      </c>
    </row>
    <row r="62" spans="1:6" x14ac:dyDescent="0.2">
      <c r="A62" s="46">
        <v>17.48777256356118</v>
      </c>
      <c r="B62" s="47">
        <f>IF([2]Datos!B61="Estructurados",1,0)</f>
        <v>0</v>
      </c>
      <c r="C62" s="48">
        <v>4</v>
      </c>
      <c r="D62" s="47">
        <v>17</v>
      </c>
      <c r="E62" s="47">
        <v>2</v>
      </c>
      <c r="F62" s="47">
        <v>10.885864445330711</v>
      </c>
    </row>
    <row r="63" spans="1:6" x14ac:dyDescent="0.2">
      <c r="A63" s="46">
        <v>11.760412881077359</v>
      </c>
      <c r="B63" s="47">
        <f>IF([2]Datos!B62="Estructurados",1,0)</f>
        <v>0</v>
      </c>
      <c r="C63" s="48">
        <v>5</v>
      </c>
      <c r="D63" s="47">
        <v>11</v>
      </c>
      <c r="E63" s="47">
        <v>5</v>
      </c>
      <c r="F63" s="47">
        <v>17.91314195683497</v>
      </c>
    </row>
    <row r="64" spans="1:6" x14ac:dyDescent="0.2">
      <c r="A64" s="46">
        <v>12.90717051166809</v>
      </c>
      <c r="B64" s="47">
        <f>IF([2]Datos!B63="Estructurados",1,0)</f>
        <v>0</v>
      </c>
      <c r="C64" s="48">
        <v>5</v>
      </c>
      <c r="D64" s="47">
        <v>12</v>
      </c>
      <c r="E64" s="47">
        <v>4</v>
      </c>
      <c r="F64" s="47">
        <v>13.55876054745141</v>
      </c>
    </row>
    <row r="65" spans="1:6" x14ac:dyDescent="0.2">
      <c r="A65" s="46">
        <v>16.446832512996981</v>
      </c>
      <c r="B65" s="47">
        <f>IF([2]Datos!B64="Estructurados",1,0)</f>
        <v>0</v>
      </c>
      <c r="C65" s="48">
        <v>3</v>
      </c>
      <c r="D65" s="47">
        <v>19</v>
      </c>
      <c r="E65" s="47">
        <v>4</v>
      </c>
      <c r="F65" s="47">
        <v>16.776643511142488</v>
      </c>
    </row>
    <row r="66" spans="1:6" x14ac:dyDescent="0.2">
      <c r="A66" s="46">
        <v>8.401896687959665</v>
      </c>
      <c r="B66" s="47">
        <f>IF([2]Datos!B65="Estructurados",1,0)</f>
        <v>0</v>
      </c>
      <c r="C66" s="48">
        <v>3</v>
      </c>
      <c r="D66" s="47">
        <v>7</v>
      </c>
      <c r="E66" s="47">
        <v>3</v>
      </c>
      <c r="F66" s="47">
        <v>10.64633654418336</v>
      </c>
    </row>
    <row r="67" spans="1:6" x14ac:dyDescent="0.2">
      <c r="A67" s="46">
        <v>13.4062629111971</v>
      </c>
      <c r="B67" s="47">
        <f>IF([2]Datos!B66="Estructurados",1,0)</f>
        <v>0</v>
      </c>
      <c r="C67" s="48">
        <v>4</v>
      </c>
      <c r="D67" s="47">
        <v>20</v>
      </c>
      <c r="E67" s="47">
        <v>2</v>
      </c>
      <c r="F67" s="47">
        <v>15.76642625220852</v>
      </c>
    </row>
    <row r="68" spans="1:6" x14ac:dyDescent="0.2">
      <c r="A68" s="46">
        <v>17.678120014285408</v>
      </c>
      <c r="B68" s="47">
        <f>IF([2]Datos!B67="Estructurados",1,0)</f>
        <v>1</v>
      </c>
      <c r="C68" s="48">
        <v>2</v>
      </c>
      <c r="D68" s="47">
        <v>6</v>
      </c>
      <c r="E68" s="47">
        <v>4</v>
      </c>
      <c r="F68" s="47">
        <v>14.46520640603444</v>
      </c>
    </row>
    <row r="69" spans="1:6" x14ac:dyDescent="0.2">
      <c r="A69" s="46">
        <v>14.963994939209829</v>
      </c>
      <c r="B69" s="47">
        <f>IF([2]Datos!B68="Estructurados",1,0)</f>
        <v>1</v>
      </c>
      <c r="C69" s="48">
        <v>2</v>
      </c>
      <c r="D69" s="47">
        <v>1</v>
      </c>
      <c r="E69" s="47">
        <v>3</v>
      </c>
      <c r="F69" s="47">
        <v>16.052371550296499</v>
      </c>
    </row>
    <row r="70" spans="1:6" x14ac:dyDescent="0.2">
      <c r="A70" s="46">
        <v>17.501766448946011</v>
      </c>
      <c r="B70" s="47">
        <f>IF([2]Datos!B69="Estructurados",1,0)</f>
        <v>0</v>
      </c>
      <c r="C70" s="48">
        <v>5</v>
      </c>
      <c r="D70" s="47">
        <v>17</v>
      </c>
      <c r="E70" s="47">
        <v>5</v>
      </c>
      <c r="F70" s="47">
        <v>12.426519776874009</v>
      </c>
    </row>
    <row r="71" spans="1:6" x14ac:dyDescent="0.2">
      <c r="A71" s="46">
        <v>17.180818012523819</v>
      </c>
      <c r="B71" s="47">
        <f>IF([2]Datos!B70="Estructurados",1,0)</f>
        <v>0</v>
      </c>
      <c r="C71" s="48">
        <v>5</v>
      </c>
      <c r="D71" s="47">
        <v>11</v>
      </c>
      <c r="E71" s="47">
        <v>4</v>
      </c>
      <c r="F71" s="47">
        <v>14.067513771398829</v>
      </c>
    </row>
    <row r="72" spans="1:6" x14ac:dyDescent="0.2">
      <c r="A72" s="46">
        <v>21.67744012269744</v>
      </c>
      <c r="B72" s="47">
        <f>IF([2]Datos!B71="Estructurados",1,0)</f>
        <v>1</v>
      </c>
      <c r="C72" s="48">
        <v>4</v>
      </c>
      <c r="D72" s="47">
        <v>18</v>
      </c>
      <c r="E72" s="47">
        <v>3</v>
      </c>
      <c r="F72" s="47">
        <v>17.71820810249222</v>
      </c>
    </row>
    <row r="73" spans="1:6" x14ac:dyDescent="0.2">
      <c r="A73" s="46">
        <v>13.18069780275421</v>
      </c>
      <c r="B73" s="47">
        <f>IF([2]Datos!B72="Estructurados",1,0)</f>
        <v>0</v>
      </c>
      <c r="C73" s="48">
        <v>5</v>
      </c>
      <c r="D73" s="47">
        <v>17</v>
      </c>
      <c r="E73" s="47">
        <v>3</v>
      </c>
      <c r="F73" s="47">
        <v>13.041532826086049</v>
      </c>
    </row>
    <row r="74" spans="1:6" x14ac:dyDescent="0.2">
      <c r="A74" s="46">
        <v>12.769018283232979</v>
      </c>
      <c r="B74" s="47">
        <f>IF([2]Datos!B73="Estructurados",1,0)</f>
        <v>1</v>
      </c>
      <c r="C74" s="48">
        <v>4</v>
      </c>
      <c r="D74" s="47">
        <v>7</v>
      </c>
      <c r="E74" s="47">
        <v>1</v>
      </c>
      <c r="F74" s="47">
        <v>8.6769906264173908</v>
      </c>
    </row>
    <row r="75" spans="1:6" x14ac:dyDescent="0.2">
      <c r="A75" s="46">
        <v>18.982086980445029</v>
      </c>
      <c r="B75" s="47">
        <f>IF([2]Datos!B74="Estructurados",1,0)</f>
        <v>1</v>
      </c>
      <c r="C75" s="48">
        <v>5</v>
      </c>
      <c r="D75" s="47">
        <v>17</v>
      </c>
      <c r="E75" s="47">
        <v>5</v>
      </c>
      <c r="F75" s="47">
        <v>14.131973059039209</v>
      </c>
    </row>
    <row r="76" spans="1:6" x14ac:dyDescent="0.2">
      <c r="A76" s="46">
        <v>15.782321827906999</v>
      </c>
      <c r="B76" s="47">
        <f>IF([2]Datos!B75="Estructurados",1,0)</f>
        <v>1</v>
      </c>
      <c r="C76" s="48">
        <v>5</v>
      </c>
      <c r="D76" s="47">
        <v>20</v>
      </c>
      <c r="E76" s="47">
        <v>1</v>
      </c>
      <c r="F76" s="47">
        <v>15.69341016063067</v>
      </c>
    </row>
    <row r="77" spans="1:6" x14ac:dyDescent="0.2">
      <c r="A77" s="46">
        <v>19.690127447955131</v>
      </c>
      <c r="B77" s="47">
        <f>IF([2]Datos!B76="Estructurados",1,0)</f>
        <v>0</v>
      </c>
      <c r="C77" s="48">
        <v>4</v>
      </c>
      <c r="D77" s="47">
        <v>9</v>
      </c>
      <c r="E77" s="47">
        <v>2</v>
      </c>
      <c r="F77" s="47">
        <v>11.326580146999101</v>
      </c>
    </row>
    <row r="78" spans="1:6" x14ac:dyDescent="0.2">
      <c r="A78" s="46">
        <v>13.41095125218761</v>
      </c>
      <c r="B78" s="47">
        <f>IF([2]Datos!B77="Estructurados",1,0)</f>
        <v>0</v>
      </c>
      <c r="C78" s="48">
        <v>3</v>
      </c>
      <c r="D78" s="47">
        <v>17</v>
      </c>
      <c r="E78" s="47">
        <v>1</v>
      </c>
      <c r="F78" s="47">
        <v>16.33821217496854</v>
      </c>
    </row>
    <row r="79" spans="1:6" x14ac:dyDescent="0.2">
      <c r="A79" s="46">
        <v>17.043523534119089</v>
      </c>
      <c r="B79" s="47">
        <f>IF([2]Datos!B78="Estructurados",1,0)</f>
        <v>1</v>
      </c>
      <c r="C79" s="48">
        <v>2</v>
      </c>
      <c r="D79" s="47">
        <v>20</v>
      </c>
      <c r="E79" s="47">
        <v>1</v>
      </c>
      <c r="F79" s="47">
        <v>15.603260204899341</v>
      </c>
    </row>
    <row r="80" spans="1:6" x14ac:dyDescent="0.2">
      <c r="A80" s="46">
        <v>15.85049632476707</v>
      </c>
      <c r="B80" s="47">
        <f>IF([2]Datos!B79="Estructurados",1,0)</f>
        <v>1</v>
      </c>
      <c r="C80" s="48">
        <v>4</v>
      </c>
      <c r="D80" s="47">
        <v>8</v>
      </c>
      <c r="E80" s="47">
        <v>4</v>
      </c>
      <c r="F80" s="47">
        <v>14.137381851597381</v>
      </c>
    </row>
    <row r="81" spans="1:6" x14ac:dyDescent="0.2">
      <c r="A81" s="46">
        <v>9.0458803882677508</v>
      </c>
      <c r="B81" s="47">
        <f>IF([2]Datos!B80="Estructurados",1,0)</f>
        <v>1</v>
      </c>
      <c r="C81" s="48">
        <v>3</v>
      </c>
      <c r="D81" s="47">
        <v>17</v>
      </c>
      <c r="E81" s="47">
        <v>3</v>
      </c>
      <c r="F81" s="47">
        <v>16.57297223288877</v>
      </c>
    </row>
    <row r="82" spans="1:6" x14ac:dyDescent="0.2">
      <c r="A82" s="46">
        <v>14.00621554269955</v>
      </c>
      <c r="B82" s="47">
        <f>IF([2]Datos!B81="Estructurados",1,0)</f>
        <v>1</v>
      </c>
      <c r="C82" s="48">
        <v>3</v>
      </c>
      <c r="D82" s="47">
        <v>7</v>
      </c>
      <c r="E82" s="47">
        <v>5</v>
      </c>
      <c r="F82" s="47">
        <v>13.369188969721799</v>
      </c>
    </row>
    <row r="83" spans="1:6" x14ac:dyDescent="0.2">
      <c r="A83" s="46">
        <v>16.89016405608124</v>
      </c>
      <c r="B83" s="47">
        <f>IF([2]Datos!B82="Estructurados",1,0)</f>
        <v>1</v>
      </c>
      <c r="C83" s="48">
        <v>3</v>
      </c>
      <c r="D83" s="47">
        <v>1</v>
      </c>
      <c r="E83" s="47">
        <v>1</v>
      </c>
      <c r="F83" s="47">
        <v>11.682861668465961</v>
      </c>
    </row>
    <row r="84" spans="1:6" x14ac:dyDescent="0.2">
      <c r="A84" s="46">
        <v>18.178556285755871</v>
      </c>
      <c r="B84" s="47">
        <f>IF([2]Datos!B83="Estructurados",1,0)</f>
        <v>0</v>
      </c>
      <c r="C84" s="48">
        <v>3</v>
      </c>
      <c r="D84" s="47">
        <v>13</v>
      </c>
      <c r="E84" s="47">
        <v>5</v>
      </c>
      <c r="F84" s="47">
        <v>10.243021090015899</v>
      </c>
    </row>
    <row r="85" spans="1:6" x14ac:dyDescent="0.2">
      <c r="A85" s="46">
        <v>13.738947022370761</v>
      </c>
      <c r="B85" s="47">
        <f>IF([2]Datos!B84="Estructurados",1,0)</f>
        <v>1</v>
      </c>
      <c r="C85" s="48">
        <v>5</v>
      </c>
      <c r="D85" s="47">
        <v>19</v>
      </c>
      <c r="E85" s="47">
        <v>1</v>
      </c>
      <c r="F85" s="47">
        <v>14.2057965941523</v>
      </c>
    </row>
    <row r="86" spans="1:6" x14ac:dyDescent="0.2">
      <c r="A86" s="46">
        <v>16.740864890863179</v>
      </c>
      <c r="B86" s="47">
        <f>IF([2]Datos!B85="Estructurados",1,0)</f>
        <v>0</v>
      </c>
      <c r="C86" s="48">
        <v>5</v>
      </c>
      <c r="D86" s="47">
        <v>19</v>
      </c>
      <c r="E86" s="47">
        <v>2</v>
      </c>
      <c r="F86" s="47">
        <v>17.842597045912459</v>
      </c>
    </row>
    <row r="87" spans="1:6" x14ac:dyDescent="0.2">
      <c r="A87" s="46">
        <v>8.5957531985534068</v>
      </c>
      <c r="B87" s="47">
        <f>IF([2]Datos!B86="Estructurados",1,0)</f>
        <v>1</v>
      </c>
      <c r="C87" s="48">
        <v>4</v>
      </c>
      <c r="D87" s="47">
        <v>17</v>
      </c>
      <c r="E87" s="47">
        <v>1</v>
      </c>
      <c r="F87" s="47">
        <v>7.6180705984540982</v>
      </c>
    </row>
    <row r="88" spans="1:6" x14ac:dyDescent="0.2">
      <c r="A88" s="46">
        <v>11.74912147820773</v>
      </c>
      <c r="B88" s="47">
        <f>IF([2]Datos!B87="Estructurados",1,0)</f>
        <v>0</v>
      </c>
      <c r="C88" s="48">
        <v>5</v>
      </c>
      <c r="D88" s="47">
        <v>13</v>
      </c>
      <c r="E88" s="47">
        <v>4</v>
      </c>
      <c r="F88" s="47">
        <v>10.88819021154093</v>
      </c>
    </row>
    <row r="89" spans="1:6" x14ac:dyDescent="0.2">
      <c r="A89" s="46">
        <v>21.45770105885104</v>
      </c>
      <c r="B89" s="47">
        <f>IF([2]Datos!B88="Estructurados",1,0)</f>
        <v>0</v>
      </c>
      <c r="C89" s="48">
        <v>4</v>
      </c>
      <c r="D89" s="47">
        <v>16</v>
      </c>
      <c r="E89" s="47">
        <v>3</v>
      </c>
      <c r="F89" s="47">
        <v>12.872725535428129</v>
      </c>
    </row>
    <row r="90" spans="1:6" x14ac:dyDescent="0.2">
      <c r="A90" s="46">
        <v>19.164375554829839</v>
      </c>
      <c r="B90" s="47">
        <f>IF([2]Datos!B89="Estructurados",1,0)</f>
        <v>0</v>
      </c>
      <c r="C90" s="48">
        <v>3</v>
      </c>
      <c r="D90" s="47">
        <v>8</v>
      </c>
      <c r="E90" s="47">
        <v>2</v>
      </c>
      <c r="F90" s="47">
        <v>13.19856559375132</v>
      </c>
    </row>
    <row r="91" spans="1:6" x14ac:dyDescent="0.2">
      <c r="A91" s="46">
        <v>15.73511989811648</v>
      </c>
      <c r="B91" s="47">
        <f>IF([2]Datos!B90="Estructurados",1,0)</f>
        <v>0</v>
      </c>
      <c r="C91" s="48">
        <v>5</v>
      </c>
      <c r="D91" s="47">
        <v>19</v>
      </c>
      <c r="E91" s="47">
        <v>1</v>
      </c>
      <c r="F91" s="47">
        <v>17.202589981353199</v>
      </c>
    </row>
    <row r="92" spans="1:6" x14ac:dyDescent="0.2">
      <c r="A92" s="46">
        <v>11.25663371655668</v>
      </c>
      <c r="B92" s="47">
        <f>IF([2]Datos!B91="Estructurados",1,0)</f>
        <v>0</v>
      </c>
      <c r="C92" s="48">
        <v>5</v>
      </c>
      <c r="D92" s="47">
        <v>18</v>
      </c>
      <c r="E92" s="47">
        <v>5</v>
      </c>
      <c r="F92" s="47">
        <v>16.985420078006111</v>
      </c>
    </row>
    <row r="93" spans="1:6" x14ac:dyDescent="0.2">
      <c r="A93" s="46">
        <v>12.04853877467402</v>
      </c>
      <c r="B93" s="47">
        <f>IF([2]Datos!B92="Estructurados",1,0)</f>
        <v>0</v>
      </c>
      <c r="C93" s="48">
        <v>3</v>
      </c>
      <c r="D93" s="47">
        <v>1</v>
      </c>
      <c r="E93" s="47">
        <v>2</v>
      </c>
      <c r="F93" s="47">
        <v>13.699052124645471</v>
      </c>
    </row>
    <row r="94" spans="1:6" x14ac:dyDescent="0.2">
      <c r="A94" s="46">
        <v>17.48432249526644</v>
      </c>
      <c r="B94" s="47">
        <f>IF([2]Datos!B93="Estructurados",1,0)</f>
        <v>1</v>
      </c>
      <c r="C94" s="48">
        <v>4</v>
      </c>
      <c r="D94" s="47">
        <v>14</v>
      </c>
      <c r="E94" s="47">
        <v>2</v>
      </c>
      <c r="F94" s="47">
        <v>18.812320458953518</v>
      </c>
    </row>
    <row r="95" spans="1:6" x14ac:dyDescent="0.2">
      <c r="A95" s="46">
        <v>20.64897345306132</v>
      </c>
      <c r="B95" s="47">
        <f>IF([2]Datos!B94="Estructurados",1,0)</f>
        <v>0</v>
      </c>
      <c r="C95" s="48">
        <v>3</v>
      </c>
      <c r="D95" s="47">
        <v>19</v>
      </c>
      <c r="E95" s="47">
        <v>1</v>
      </c>
      <c r="F95" s="47">
        <v>16.398125869214329</v>
      </c>
    </row>
    <row r="96" spans="1:6" x14ac:dyDescent="0.2">
      <c r="A96" s="46">
        <v>11.83616892670112</v>
      </c>
      <c r="B96" s="47">
        <f>IF([2]Datos!B95="Estructurados",1,0)</f>
        <v>1</v>
      </c>
      <c r="C96" s="48">
        <v>3</v>
      </c>
      <c r="D96" s="47">
        <v>15</v>
      </c>
      <c r="E96" s="47">
        <v>2</v>
      </c>
      <c r="F96" s="47">
        <v>10.229704487236621</v>
      </c>
    </row>
    <row r="97" spans="1:6" x14ac:dyDescent="0.2">
      <c r="A97" s="46">
        <v>19.803945923433918</v>
      </c>
      <c r="B97" s="47">
        <f>IF([2]Datos!B96="Estructurados",1,0)</f>
        <v>0</v>
      </c>
      <c r="C97" s="48">
        <v>5</v>
      </c>
      <c r="D97" s="47">
        <v>18</v>
      </c>
      <c r="E97" s="47">
        <v>5</v>
      </c>
      <c r="F97" s="47">
        <v>17.379711103318758</v>
      </c>
    </row>
    <row r="98" spans="1:6" x14ac:dyDescent="0.2">
      <c r="A98" s="46">
        <v>10.268242525933941</v>
      </c>
      <c r="B98" s="47">
        <f>IF([2]Datos!B97="Estructurados",1,0)</f>
        <v>0</v>
      </c>
      <c r="C98" s="48">
        <v>5</v>
      </c>
      <c r="D98" s="47">
        <v>2</v>
      </c>
      <c r="E98" s="47">
        <v>2</v>
      </c>
      <c r="F98" s="47">
        <v>11.760405786338159</v>
      </c>
    </row>
    <row r="99" spans="1:6" x14ac:dyDescent="0.2">
      <c r="A99" s="46">
        <v>22.148060138532291</v>
      </c>
      <c r="B99" s="47">
        <f>IF([2]Datos!B98="Estructurados",1,0)</f>
        <v>1</v>
      </c>
      <c r="C99" s="48">
        <v>3</v>
      </c>
      <c r="D99" s="47">
        <v>17</v>
      </c>
      <c r="E99" s="47">
        <v>5</v>
      </c>
      <c r="F99" s="47">
        <v>14.20577823966928</v>
      </c>
    </row>
    <row r="100" spans="1:6" x14ac:dyDescent="0.2">
      <c r="A100" s="46">
        <v>16.130527636089941</v>
      </c>
      <c r="B100" s="47">
        <f>IF([2]Datos!B99="Estructurados",1,0)</f>
        <v>0</v>
      </c>
      <c r="C100" s="48">
        <v>5</v>
      </c>
      <c r="D100" s="47">
        <v>18</v>
      </c>
      <c r="E100" s="47">
        <v>1</v>
      </c>
      <c r="F100" s="47">
        <v>18.217105308962079</v>
      </c>
    </row>
    <row r="101" spans="1:6" x14ac:dyDescent="0.2">
      <c r="A101" s="46">
        <v>10.002556728321229</v>
      </c>
      <c r="B101" s="47">
        <f>IF([2]Datos!B100="Estructurados",1,0)</f>
        <v>1</v>
      </c>
      <c r="C101" s="48">
        <v>3</v>
      </c>
      <c r="D101" s="47">
        <v>6</v>
      </c>
      <c r="E101" s="47">
        <v>3</v>
      </c>
      <c r="F101" s="47">
        <v>13.231788569531471</v>
      </c>
    </row>
    <row r="102" spans="1:6" x14ac:dyDescent="0.2">
      <c r="A102" s="46">
        <v>19.882706433312421</v>
      </c>
      <c r="B102" s="47">
        <f>IF([2]Datos!B101="Estructurados",1,0)</f>
        <v>1</v>
      </c>
      <c r="C102" s="48">
        <v>4</v>
      </c>
      <c r="D102" s="47">
        <v>19</v>
      </c>
      <c r="E102" s="47">
        <v>2</v>
      </c>
      <c r="F102" s="47">
        <v>14.915622267246571</v>
      </c>
    </row>
    <row r="103" spans="1:6" x14ac:dyDescent="0.2">
      <c r="A103" s="46">
        <v>16.29231462897479</v>
      </c>
      <c r="B103" s="47">
        <f>IF([2]Datos!B102="Estructurados",1,0)</f>
        <v>1</v>
      </c>
      <c r="C103" s="48">
        <v>3</v>
      </c>
      <c r="D103" s="47">
        <v>4</v>
      </c>
      <c r="E103" s="47">
        <v>3</v>
      </c>
      <c r="F103" s="47">
        <v>12.171144457243949</v>
      </c>
    </row>
    <row r="104" spans="1:6" x14ac:dyDescent="0.2">
      <c r="A104" s="46">
        <v>12.78967733861732</v>
      </c>
      <c r="B104" s="47">
        <f>IF([2]Datos!B103="Estructurados",1,0)</f>
        <v>1</v>
      </c>
      <c r="C104" s="48">
        <v>3</v>
      </c>
      <c r="D104" s="47">
        <v>1</v>
      </c>
      <c r="E104" s="47">
        <v>5</v>
      </c>
      <c r="F104" s="47">
        <v>11.76378894554739</v>
      </c>
    </row>
    <row r="105" spans="1:6" x14ac:dyDescent="0.2">
      <c r="A105" s="46">
        <v>14.828642741736619</v>
      </c>
      <c r="B105" s="47">
        <f>IF([2]Datos!B104="Estructurados",1,0)</f>
        <v>0</v>
      </c>
      <c r="C105" s="48">
        <v>4</v>
      </c>
      <c r="D105" s="47">
        <v>8</v>
      </c>
      <c r="E105" s="47">
        <v>2</v>
      </c>
      <c r="F105" s="47">
        <v>11.906518232826899</v>
      </c>
    </row>
    <row r="106" spans="1:6" x14ac:dyDescent="0.2">
      <c r="A106" s="46">
        <v>18.59886136538919</v>
      </c>
      <c r="B106" s="47">
        <f>IF([2]Datos!B105="Estructurados",1,0)</f>
        <v>0</v>
      </c>
      <c r="C106" s="48">
        <v>3</v>
      </c>
      <c r="D106" s="47">
        <v>7</v>
      </c>
      <c r="E106" s="47">
        <v>4</v>
      </c>
      <c r="F106" s="47">
        <v>14.6205719588575</v>
      </c>
    </row>
    <row r="107" spans="1:6" x14ac:dyDescent="0.2">
      <c r="A107" s="46">
        <v>16.919357144166991</v>
      </c>
      <c r="B107" s="47">
        <f>IF([2]Datos!B106="Estructurados",1,0)</f>
        <v>1</v>
      </c>
      <c r="C107" s="48">
        <v>4</v>
      </c>
      <c r="D107" s="47">
        <v>3</v>
      </c>
      <c r="E107" s="47">
        <v>3</v>
      </c>
      <c r="F107" s="47">
        <v>14.52080708982122</v>
      </c>
    </row>
    <row r="108" spans="1:6" x14ac:dyDescent="0.2">
      <c r="A108" s="46">
        <v>21.202025428407271</v>
      </c>
      <c r="B108" s="47">
        <f>IF([2]Datos!B107="Estructurados",1,0)</f>
        <v>0</v>
      </c>
      <c r="C108" s="48">
        <v>4</v>
      </c>
      <c r="D108" s="47">
        <v>10</v>
      </c>
      <c r="E108" s="47">
        <v>2</v>
      </c>
      <c r="F108" s="47">
        <v>13.701572660608109</v>
      </c>
    </row>
    <row r="109" spans="1:6" x14ac:dyDescent="0.2">
      <c r="A109" s="46">
        <v>13.943092950605269</v>
      </c>
      <c r="B109" s="47">
        <f>IF([2]Datos!B108="Estructurados",1,0)</f>
        <v>0</v>
      </c>
      <c r="C109" s="48">
        <v>4</v>
      </c>
      <c r="D109" s="47">
        <v>10</v>
      </c>
      <c r="E109" s="47">
        <v>3</v>
      </c>
      <c r="F109" s="47">
        <v>13.64907877956149</v>
      </c>
    </row>
    <row r="110" spans="1:6" x14ac:dyDescent="0.2">
      <c r="A110" s="46">
        <v>16.087288906415921</v>
      </c>
      <c r="B110" s="47">
        <f>IF([2]Datos!B109="Estructurados",1,0)</f>
        <v>1</v>
      </c>
      <c r="C110" s="48">
        <v>3</v>
      </c>
      <c r="D110" s="47">
        <v>19</v>
      </c>
      <c r="E110" s="47">
        <v>2</v>
      </c>
      <c r="F110" s="47">
        <v>15.02289425078693</v>
      </c>
    </row>
    <row r="111" spans="1:6" x14ac:dyDescent="0.2">
      <c r="A111" s="46">
        <v>15.12877519536138</v>
      </c>
      <c r="B111" s="47">
        <f>IF([2]Datos!B110="Estructurados",1,0)</f>
        <v>0</v>
      </c>
      <c r="C111" s="48">
        <v>3</v>
      </c>
      <c r="D111" s="47">
        <v>14</v>
      </c>
      <c r="E111" s="47">
        <v>1</v>
      </c>
      <c r="F111" s="47">
        <v>14.808138533053979</v>
      </c>
    </row>
    <row r="112" spans="1:6" x14ac:dyDescent="0.2">
      <c r="A112" s="46">
        <v>11.962777042116921</v>
      </c>
      <c r="B112" s="47">
        <f>IF([2]Datos!B111="Estructurados",1,0)</f>
        <v>1</v>
      </c>
      <c r="C112" s="48">
        <v>5</v>
      </c>
      <c r="D112" s="47">
        <v>2</v>
      </c>
      <c r="E112" s="47">
        <v>3</v>
      </c>
      <c r="F112" s="47">
        <v>9.2431938295213136</v>
      </c>
    </row>
    <row r="113" spans="1:6" x14ac:dyDescent="0.2">
      <c r="A113" s="46">
        <v>3.0406143923504789</v>
      </c>
      <c r="B113" s="47">
        <f>IF([2]Datos!B112="Estructurados",1,0)</f>
        <v>1</v>
      </c>
      <c r="C113" s="48">
        <v>5</v>
      </c>
      <c r="D113" s="47">
        <v>1</v>
      </c>
      <c r="E113" s="47">
        <v>4</v>
      </c>
      <c r="F113" s="47">
        <v>10.058608631169941</v>
      </c>
    </row>
    <row r="114" spans="1:6" x14ac:dyDescent="0.2">
      <c r="A114" s="46">
        <v>18.986743062275391</v>
      </c>
      <c r="B114" s="47">
        <f>IF([2]Datos!B113="Estructurados",1,0)</f>
        <v>0</v>
      </c>
      <c r="C114" s="48">
        <v>3</v>
      </c>
      <c r="D114" s="47">
        <v>18</v>
      </c>
      <c r="E114" s="47">
        <v>4</v>
      </c>
      <c r="F114" s="47">
        <v>18.7711835241107</v>
      </c>
    </row>
    <row r="115" spans="1:6" x14ac:dyDescent="0.2">
      <c r="A115" s="46">
        <v>10.030115104970511</v>
      </c>
      <c r="B115" s="47">
        <f>IF([2]Datos!B114="Estructurados",1,0)</f>
        <v>0</v>
      </c>
      <c r="C115" s="48">
        <v>4</v>
      </c>
      <c r="D115" s="47">
        <v>7</v>
      </c>
      <c r="E115" s="47">
        <v>5</v>
      </c>
      <c r="F115" s="47">
        <v>12.882558931748809</v>
      </c>
    </row>
    <row r="116" spans="1:6" x14ac:dyDescent="0.2">
      <c r="A116" s="46">
        <v>19.231621056242641</v>
      </c>
      <c r="B116" s="47">
        <f>IF([2]Datos!B115="Estructurados",1,0)</f>
        <v>0</v>
      </c>
      <c r="C116" s="48">
        <v>5</v>
      </c>
      <c r="D116" s="47">
        <v>8</v>
      </c>
      <c r="E116" s="47">
        <v>2</v>
      </c>
      <c r="F116" s="47">
        <v>13.98349125444458</v>
      </c>
    </row>
    <row r="117" spans="1:6" x14ac:dyDescent="0.2">
      <c r="A117" s="46">
        <v>15.90381951760944</v>
      </c>
      <c r="B117" s="47">
        <f>IF([2]Datos!B116="Estructurados",1,0)</f>
        <v>1</v>
      </c>
      <c r="C117" s="48">
        <v>2</v>
      </c>
      <c r="D117" s="47">
        <v>1</v>
      </c>
      <c r="E117" s="47">
        <v>3</v>
      </c>
      <c r="F117" s="47">
        <v>10.13533812474447</v>
      </c>
    </row>
    <row r="118" spans="1:6" x14ac:dyDescent="0.2">
      <c r="A118" s="46">
        <v>7.1507736711668066</v>
      </c>
      <c r="B118" s="47">
        <f>IF([2]Datos!B117="Estructurados",1,0)</f>
        <v>1</v>
      </c>
      <c r="C118" s="48">
        <v>5</v>
      </c>
      <c r="D118" s="47">
        <v>3</v>
      </c>
      <c r="E118" s="47">
        <v>5</v>
      </c>
      <c r="F118" s="47">
        <v>11.036888265350431</v>
      </c>
    </row>
    <row r="119" spans="1:6" x14ac:dyDescent="0.2">
      <c r="A119" s="46">
        <v>14.98264411514738</v>
      </c>
      <c r="B119" s="47">
        <f>IF([2]Datos!B118="Estructurados",1,0)</f>
        <v>0</v>
      </c>
      <c r="C119" s="48">
        <v>3</v>
      </c>
      <c r="D119" s="47">
        <v>8</v>
      </c>
      <c r="E119" s="47">
        <v>3</v>
      </c>
      <c r="F119" s="47">
        <v>16.97364645005587</v>
      </c>
    </row>
    <row r="120" spans="1:6" x14ac:dyDescent="0.2">
      <c r="A120" s="46">
        <v>14.41566098119023</v>
      </c>
      <c r="B120" s="47">
        <f>IF([2]Datos!B119="Estructurados",1,0)</f>
        <v>0</v>
      </c>
      <c r="C120" s="48">
        <v>5</v>
      </c>
      <c r="D120" s="47">
        <v>15</v>
      </c>
      <c r="E120" s="47">
        <v>2</v>
      </c>
      <c r="F120" s="47">
        <v>14.144222746189721</v>
      </c>
    </row>
    <row r="121" spans="1:6" x14ac:dyDescent="0.2">
      <c r="A121" s="46">
        <v>19.571411407257511</v>
      </c>
      <c r="B121" s="47">
        <f>IF([2]Datos!B120="Estructurados",1,0)</f>
        <v>0</v>
      </c>
      <c r="C121" s="48">
        <v>3</v>
      </c>
      <c r="D121" s="47">
        <v>5</v>
      </c>
      <c r="E121" s="47">
        <v>4</v>
      </c>
      <c r="F121" s="47">
        <v>11.89273885679656</v>
      </c>
    </row>
    <row r="122" spans="1:6" x14ac:dyDescent="0.2">
      <c r="A122" s="46">
        <v>14.375966516343389</v>
      </c>
      <c r="B122" s="47">
        <f>IF([2]Datos!B121="Estructurados",1,0)</f>
        <v>0</v>
      </c>
      <c r="C122" s="48">
        <v>2</v>
      </c>
      <c r="D122" s="47">
        <v>3</v>
      </c>
      <c r="E122" s="47">
        <v>1</v>
      </c>
      <c r="F122" s="47">
        <v>12.50155471223745</v>
      </c>
    </row>
    <row r="123" spans="1:6" x14ac:dyDescent="0.2">
      <c r="A123" s="46">
        <v>19.395515973521519</v>
      </c>
      <c r="B123" s="47">
        <f>IF([2]Datos!B122="Estructurados",1,0)</f>
        <v>1</v>
      </c>
      <c r="C123" s="48">
        <v>2</v>
      </c>
      <c r="D123" s="47">
        <v>19</v>
      </c>
      <c r="E123" s="47">
        <v>4</v>
      </c>
      <c r="F123" s="47">
        <v>17.468861149064239</v>
      </c>
    </row>
    <row r="124" spans="1:6" x14ac:dyDescent="0.2">
      <c r="A124" s="46">
        <v>13.54530627260263</v>
      </c>
      <c r="B124" s="47">
        <f>IF([2]Datos!B123="Estructurados",1,0)</f>
        <v>0</v>
      </c>
      <c r="C124" s="48">
        <v>4</v>
      </c>
      <c r="D124" s="47">
        <v>1</v>
      </c>
      <c r="E124" s="47">
        <v>5</v>
      </c>
      <c r="F124" s="47">
        <v>10.386853342420149</v>
      </c>
    </row>
    <row r="125" spans="1:6" x14ac:dyDescent="0.2">
      <c r="A125" s="46">
        <v>10.701397155468049</v>
      </c>
      <c r="B125" s="47">
        <f>IF([2]Datos!B124="Estructurados",1,0)</f>
        <v>1</v>
      </c>
      <c r="C125" s="48">
        <v>4</v>
      </c>
      <c r="D125" s="47">
        <v>15</v>
      </c>
      <c r="E125" s="47">
        <v>1</v>
      </c>
      <c r="F125" s="47">
        <v>8.4404853769295176</v>
      </c>
    </row>
    <row r="126" spans="1:6" x14ac:dyDescent="0.2">
      <c r="A126" s="46">
        <v>15.299074468603861</v>
      </c>
      <c r="B126" s="47">
        <f>IF([2]Datos!B125="Estructurados",1,0)</f>
        <v>1</v>
      </c>
      <c r="C126" s="48">
        <v>3</v>
      </c>
      <c r="D126" s="47">
        <v>8</v>
      </c>
      <c r="E126" s="47">
        <v>5</v>
      </c>
      <c r="F126" s="47">
        <v>14.009174396923809</v>
      </c>
    </row>
    <row r="127" spans="1:6" x14ac:dyDescent="0.2">
      <c r="A127" s="46">
        <v>17.293428546900131</v>
      </c>
      <c r="B127" s="47">
        <f>IF([2]Datos!B126="Estructurados",1,0)</f>
        <v>0</v>
      </c>
      <c r="C127" s="48">
        <v>5</v>
      </c>
      <c r="D127" s="47">
        <v>2</v>
      </c>
      <c r="E127" s="47">
        <v>2</v>
      </c>
      <c r="F127" s="47">
        <v>9.2136375705009783</v>
      </c>
    </row>
    <row r="128" spans="1:6" x14ac:dyDescent="0.2">
      <c r="A128" s="46">
        <v>17.095227812904991</v>
      </c>
      <c r="B128" s="47">
        <f>IF([2]Datos!B127="Estructurados",1,0)</f>
        <v>0</v>
      </c>
      <c r="C128" s="48">
        <v>2</v>
      </c>
      <c r="D128" s="47">
        <v>3</v>
      </c>
      <c r="E128" s="47">
        <v>1</v>
      </c>
      <c r="F128" s="47">
        <v>11.400859951059839</v>
      </c>
    </row>
    <row r="129" spans="1:6" x14ac:dyDescent="0.2">
      <c r="A129" s="46">
        <v>13.50473183743466</v>
      </c>
      <c r="B129" s="47">
        <f>IF([2]Datos!B128="Estructurados",1,0)</f>
        <v>0</v>
      </c>
      <c r="C129" s="48">
        <v>4</v>
      </c>
      <c r="D129" s="47">
        <v>14</v>
      </c>
      <c r="E129" s="47">
        <v>5</v>
      </c>
      <c r="F129" s="47">
        <v>9.382208674740987</v>
      </c>
    </row>
    <row r="130" spans="1:6" x14ac:dyDescent="0.2">
      <c r="A130" s="46">
        <v>12.71685113519861</v>
      </c>
      <c r="B130" s="47">
        <f>IF([2]Datos!B129="Estructurados",1,0)</f>
        <v>1</v>
      </c>
      <c r="C130" s="48">
        <v>3</v>
      </c>
      <c r="D130" s="47">
        <v>14</v>
      </c>
      <c r="E130" s="47">
        <v>2</v>
      </c>
      <c r="F130" s="47">
        <v>15.245412119003269</v>
      </c>
    </row>
    <row r="131" spans="1:6" x14ac:dyDescent="0.2">
      <c r="A131" s="46">
        <v>6.0498256825438208</v>
      </c>
      <c r="B131" s="47">
        <f>IF([2]Datos!B130="Estructurados",1,0)</f>
        <v>0</v>
      </c>
      <c r="C131" s="48">
        <v>3</v>
      </c>
      <c r="D131" s="47">
        <v>11</v>
      </c>
      <c r="E131" s="47">
        <v>4</v>
      </c>
      <c r="F131" s="47">
        <v>10.295293162971641</v>
      </c>
    </row>
    <row r="132" spans="1:6" x14ac:dyDescent="0.2">
      <c r="A132" s="46">
        <v>14.748262172941899</v>
      </c>
      <c r="B132" s="47">
        <f>IF([2]Datos!B131="Estructurados",1,0)</f>
        <v>0</v>
      </c>
      <c r="C132" s="48">
        <v>4</v>
      </c>
      <c r="D132" s="47">
        <v>16</v>
      </c>
      <c r="E132" s="47">
        <v>2</v>
      </c>
      <c r="F132" s="47">
        <v>16.156358954130209</v>
      </c>
    </row>
    <row r="133" spans="1:6" x14ac:dyDescent="0.2">
      <c r="A133" s="46">
        <v>14.224668284466929</v>
      </c>
      <c r="B133" s="47">
        <f>IF([2]Datos!B132="Estructurados",1,0)</f>
        <v>1</v>
      </c>
      <c r="C133" s="48">
        <v>3</v>
      </c>
      <c r="D133" s="47">
        <v>4</v>
      </c>
      <c r="E133" s="47">
        <v>3</v>
      </c>
      <c r="F133" s="47">
        <v>12.45476762165316</v>
      </c>
    </row>
    <row r="134" spans="1:6" x14ac:dyDescent="0.2">
      <c r="A134" s="46">
        <v>11.03428148740301</v>
      </c>
      <c r="B134" s="47">
        <f>IF([2]Datos!B133="Estructurados",1,0)</f>
        <v>0</v>
      </c>
      <c r="C134" s="48">
        <v>4</v>
      </c>
      <c r="D134" s="47">
        <v>20</v>
      </c>
      <c r="E134" s="47">
        <v>2</v>
      </c>
      <c r="F134" s="47">
        <v>12.67346334045043</v>
      </c>
    </row>
    <row r="135" spans="1:6" x14ac:dyDescent="0.2">
      <c r="A135" s="46">
        <v>13.468848143136951</v>
      </c>
      <c r="B135" s="47">
        <f>IF([2]Datos!B134="Estructurados",1,0)</f>
        <v>1</v>
      </c>
      <c r="C135" s="48">
        <v>5</v>
      </c>
      <c r="D135" s="47">
        <v>5</v>
      </c>
      <c r="E135" s="47">
        <v>2</v>
      </c>
      <c r="F135" s="47">
        <v>10.82115694420458</v>
      </c>
    </row>
    <row r="136" spans="1:6" x14ac:dyDescent="0.2">
      <c r="A136" s="46">
        <v>17.23679621531759</v>
      </c>
      <c r="B136" s="47">
        <f>IF([2]Datos!B135="Estructurados",1,0)</f>
        <v>0</v>
      </c>
      <c r="C136" s="48">
        <v>3</v>
      </c>
      <c r="D136" s="47">
        <v>14</v>
      </c>
      <c r="E136" s="47">
        <v>3</v>
      </c>
      <c r="F136" s="47">
        <v>12.73188943491558</v>
      </c>
    </row>
    <row r="137" spans="1:6" x14ac:dyDescent="0.2">
      <c r="A137" s="46">
        <v>12.540287882883099</v>
      </c>
      <c r="B137" s="47">
        <f>IF([2]Datos!B136="Estructurados",1,0)</f>
        <v>1</v>
      </c>
      <c r="C137" s="48">
        <v>5</v>
      </c>
      <c r="D137" s="47">
        <v>16</v>
      </c>
      <c r="E137" s="47">
        <v>5</v>
      </c>
      <c r="F137" s="47">
        <v>19.82441338022009</v>
      </c>
    </row>
    <row r="138" spans="1:6" x14ac:dyDescent="0.2">
      <c r="A138" s="46">
        <v>15.774967202508771</v>
      </c>
      <c r="B138" s="47">
        <f>IF([2]Datos!B137="Estructurados",1,0)</f>
        <v>0</v>
      </c>
      <c r="C138" s="48">
        <v>3</v>
      </c>
      <c r="D138" s="47">
        <v>18</v>
      </c>
      <c r="E138" s="47">
        <v>5</v>
      </c>
      <c r="F138" s="47">
        <v>14.893513624903189</v>
      </c>
    </row>
    <row r="139" spans="1:6" x14ac:dyDescent="0.2">
      <c r="A139" s="46">
        <v>16.60837335383188</v>
      </c>
      <c r="B139" s="47">
        <f>IF([2]Datos!B138="Estructurados",1,0)</f>
        <v>0</v>
      </c>
      <c r="C139" s="48">
        <v>5</v>
      </c>
      <c r="D139" s="47">
        <v>7</v>
      </c>
      <c r="E139" s="47">
        <v>2</v>
      </c>
      <c r="F139" s="47">
        <v>14.556514450465331</v>
      </c>
    </row>
    <row r="140" spans="1:6" x14ac:dyDescent="0.2">
      <c r="A140" s="46">
        <v>7.8389692418971624</v>
      </c>
      <c r="B140" s="47">
        <f>IF([2]Datos!B139="Estructurados",1,0)</f>
        <v>1</v>
      </c>
      <c r="C140" s="48">
        <v>5</v>
      </c>
      <c r="D140" s="47">
        <v>10</v>
      </c>
      <c r="E140" s="47">
        <v>3</v>
      </c>
      <c r="F140" s="47">
        <v>7.7967387538806321</v>
      </c>
    </row>
    <row r="141" spans="1:6" x14ac:dyDescent="0.2">
      <c r="A141" s="46">
        <v>23.406758608684839</v>
      </c>
      <c r="B141" s="47">
        <f>IF([2]Datos!B140="Estructurados",1,0)</f>
        <v>1</v>
      </c>
      <c r="C141" s="48">
        <v>2</v>
      </c>
      <c r="D141" s="47">
        <v>7</v>
      </c>
      <c r="E141" s="47">
        <v>3</v>
      </c>
      <c r="F141" s="47">
        <v>17.834733444183009</v>
      </c>
    </row>
    <row r="142" spans="1:6" x14ac:dyDescent="0.2">
      <c r="A142" s="46">
        <v>13.384567841783021</v>
      </c>
      <c r="B142" s="47">
        <f>IF([2]Datos!B141="Estructurados",1,0)</f>
        <v>0</v>
      </c>
      <c r="C142" s="48">
        <v>3</v>
      </c>
      <c r="D142" s="47">
        <v>1</v>
      </c>
      <c r="E142" s="47">
        <v>4</v>
      </c>
      <c r="F142" s="47">
        <v>12.893356101163301</v>
      </c>
    </row>
    <row r="143" spans="1:6" x14ac:dyDescent="0.2">
      <c r="A143" s="46">
        <v>14.113729967302071</v>
      </c>
      <c r="B143" s="47">
        <f>IF([2]Datos!B142="Estructurados",1,0)</f>
        <v>1</v>
      </c>
      <c r="C143" s="48">
        <v>5</v>
      </c>
      <c r="D143" s="47">
        <v>19</v>
      </c>
      <c r="E143" s="47">
        <v>5</v>
      </c>
      <c r="F143" s="47">
        <v>15.5245420357002</v>
      </c>
    </row>
    <row r="144" spans="1:6" x14ac:dyDescent="0.2">
      <c r="A144" s="46">
        <v>23.653571377141219</v>
      </c>
      <c r="B144" s="47">
        <f>IF([2]Datos!B143="Estructurados",1,0)</f>
        <v>1</v>
      </c>
      <c r="C144" s="48">
        <v>4</v>
      </c>
      <c r="D144" s="47">
        <v>16</v>
      </c>
      <c r="E144" s="47">
        <v>1</v>
      </c>
      <c r="F144" s="47">
        <v>14.18169340264067</v>
      </c>
    </row>
    <row r="145" spans="1:6" x14ac:dyDescent="0.2">
      <c r="A145" s="46">
        <v>10.196258382719391</v>
      </c>
      <c r="B145" s="47">
        <f>IF([2]Datos!B144="Estructurados",1,0)</f>
        <v>1</v>
      </c>
      <c r="C145" s="48">
        <v>4</v>
      </c>
      <c r="D145" s="47">
        <v>19</v>
      </c>
      <c r="E145" s="47">
        <v>5</v>
      </c>
      <c r="F145" s="47">
        <v>14.312558168005699</v>
      </c>
    </row>
    <row r="146" spans="1:6" x14ac:dyDescent="0.2">
      <c r="A146" s="46">
        <v>9.0923169292661523</v>
      </c>
      <c r="B146" s="47">
        <f>IF([2]Datos!B145="Estructurados",1,0)</f>
        <v>1</v>
      </c>
      <c r="C146" s="48">
        <v>3</v>
      </c>
      <c r="D146" s="47">
        <v>4</v>
      </c>
      <c r="E146" s="47">
        <v>5</v>
      </c>
      <c r="F146" s="47">
        <v>11.50087427952773</v>
      </c>
    </row>
    <row r="147" spans="1:6" x14ac:dyDescent="0.2">
      <c r="A147" s="46">
        <v>9.1299413971242114</v>
      </c>
      <c r="B147" s="47">
        <f>IF([2]Datos!B146="Estructurados",1,0)</f>
        <v>0</v>
      </c>
      <c r="C147" s="48">
        <v>4</v>
      </c>
      <c r="D147" s="47">
        <v>18</v>
      </c>
      <c r="E147" s="47">
        <v>4</v>
      </c>
      <c r="F147" s="47">
        <v>17.7749145544995</v>
      </c>
    </row>
    <row r="148" spans="1:6" x14ac:dyDescent="0.2">
      <c r="A148" s="46">
        <v>8.3909114358886558</v>
      </c>
      <c r="B148" s="47">
        <f>IF([2]Datos!B147="Estructurados",1,0)</f>
        <v>0</v>
      </c>
      <c r="C148" s="48">
        <v>4</v>
      </c>
      <c r="D148" s="47">
        <v>2</v>
      </c>
      <c r="E148" s="47">
        <v>1</v>
      </c>
      <c r="F148" s="47">
        <v>8.485665597558615</v>
      </c>
    </row>
    <row r="149" spans="1:6" x14ac:dyDescent="0.2">
      <c r="A149" s="46">
        <v>19.381524644560962</v>
      </c>
      <c r="B149" s="47">
        <f>IF([2]Datos!B148="Estructurados",1,0)</f>
        <v>1</v>
      </c>
      <c r="C149" s="48">
        <v>5</v>
      </c>
      <c r="D149" s="47">
        <v>1</v>
      </c>
      <c r="E149" s="47">
        <v>4</v>
      </c>
      <c r="F149" s="47">
        <v>14.616172435686179</v>
      </c>
    </row>
    <row r="150" spans="1:6" x14ac:dyDescent="0.2">
      <c r="A150" s="46">
        <v>18.339771693457859</v>
      </c>
      <c r="B150" s="47">
        <f>IF([2]Datos!B149="Estructurados",1,0)</f>
        <v>1</v>
      </c>
      <c r="C150" s="48">
        <v>4</v>
      </c>
      <c r="D150" s="47">
        <v>15</v>
      </c>
      <c r="E150" s="47">
        <v>1</v>
      </c>
      <c r="F150" s="47">
        <v>19.311930955833301</v>
      </c>
    </row>
    <row r="151" spans="1:6" x14ac:dyDescent="0.2">
      <c r="A151" s="46">
        <v>16.26097078280845</v>
      </c>
      <c r="B151" s="47">
        <f>IF([2]Datos!B150="Estructurados",1,0)</f>
        <v>1</v>
      </c>
      <c r="C151" s="48">
        <v>4</v>
      </c>
      <c r="D151" s="47">
        <v>5</v>
      </c>
      <c r="E151" s="47">
        <v>2</v>
      </c>
      <c r="F151" s="47">
        <v>10.46900544142442</v>
      </c>
    </row>
    <row r="152" spans="1:6" x14ac:dyDescent="0.2">
      <c r="A152" s="46">
        <v>12.14849233661659</v>
      </c>
      <c r="B152" s="47">
        <f>IF([2]Datos!B151="Estructurados",1,0)</f>
        <v>1</v>
      </c>
      <c r="C152" s="48">
        <v>4</v>
      </c>
      <c r="D152" s="47">
        <v>20</v>
      </c>
      <c r="E152" s="47">
        <v>1</v>
      </c>
      <c r="F152" s="47">
        <v>13.571360952218731</v>
      </c>
    </row>
    <row r="153" spans="1:6" x14ac:dyDescent="0.2">
      <c r="A153" s="46">
        <v>13.125246425172939</v>
      </c>
      <c r="B153" s="47">
        <f>IF([2]Datos!B152="Estructurados",1,0)</f>
        <v>0</v>
      </c>
      <c r="C153" s="48">
        <v>4</v>
      </c>
      <c r="D153" s="47">
        <v>11</v>
      </c>
      <c r="E153" s="47">
        <v>4</v>
      </c>
      <c r="F153" s="47">
        <v>12.687647522027531</v>
      </c>
    </row>
    <row r="154" spans="1:6" x14ac:dyDescent="0.2">
      <c r="A154" s="46">
        <v>13.17322410474849</v>
      </c>
      <c r="B154" s="47">
        <f>IF([2]Datos!B153="Estructurados",1,0)</f>
        <v>0</v>
      </c>
      <c r="C154" s="48">
        <v>4</v>
      </c>
      <c r="D154" s="47">
        <v>10</v>
      </c>
      <c r="E154" s="47">
        <v>5</v>
      </c>
      <c r="F154" s="47">
        <v>13.07567982151704</v>
      </c>
    </row>
    <row r="155" spans="1:6" x14ac:dyDescent="0.2">
      <c r="A155" s="46">
        <v>19.659987639210751</v>
      </c>
      <c r="B155" s="47">
        <f>IF([2]Datos!B154="Estructurados",1,0)</f>
        <v>1</v>
      </c>
      <c r="C155" s="48">
        <v>4</v>
      </c>
      <c r="D155" s="47">
        <v>2</v>
      </c>
      <c r="E155" s="47">
        <v>1</v>
      </c>
      <c r="F155" s="47">
        <v>13.069917525368069</v>
      </c>
    </row>
    <row r="156" spans="1:6" x14ac:dyDescent="0.2">
      <c r="A156" s="46">
        <v>18.1161268485805</v>
      </c>
      <c r="B156" s="47">
        <f>IF([2]Datos!B155="Estructurados",1,0)</f>
        <v>1</v>
      </c>
      <c r="C156" s="48">
        <v>4</v>
      </c>
      <c r="D156" s="47">
        <v>3</v>
      </c>
      <c r="E156" s="47">
        <v>1</v>
      </c>
      <c r="F156" s="47">
        <v>10.648401876235249</v>
      </c>
    </row>
    <row r="157" spans="1:6" x14ac:dyDescent="0.2">
      <c r="A157" s="46">
        <v>15.146536236649339</v>
      </c>
      <c r="B157" s="47">
        <f>IF([2]Datos!B156="Estructurados",1,0)</f>
        <v>1</v>
      </c>
      <c r="C157" s="48">
        <v>4</v>
      </c>
      <c r="D157" s="47">
        <v>12</v>
      </c>
      <c r="E157" s="47">
        <v>3</v>
      </c>
      <c r="F157" s="47">
        <v>14.52484757594414</v>
      </c>
    </row>
    <row r="158" spans="1:6" x14ac:dyDescent="0.2">
      <c r="A158" s="46">
        <v>12.64282429098682</v>
      </c>
      <c r="B158" s="47">
        <f>IF([2]Datos!B157="Estructurados",1,0)</f>
        <v>0</v>
      </c>
      <c r="C158" s="48">
        <v>5</v>
      </c>
      <c r="D158" s="47">
        <v>20</v>
      </c>
      <c r="E158" s="47">
        <v>5</v>
      </c>
      <c r="F158" s="47">
        <v>11.95510418017397</v>
      </c>
    </row>
    <row r="159" spans="1:6" x14ac:dyDescent="0.2">
      <c r="A159" s="46">
        <v>14.93288725557238</v>
      </c>
      <c r="B159" s="47">
        <f>IF([2]Datos!B158="Estructurados",1,0)</f>
        <v>1</v>
      </c>
      <c r="C159" s="48">
        <v>5</v>
      </c>
      <c r="D159" s="47">
        <v>5</v>
      </c>
      <c r="E159" s="47">
        <v>2</v>
      </c>
      <c r="F159" s="47">
        <v>13.43088248642175</v>
      </c>
    </row>
    <row r="160" spans="1:6" x14ac:dyDescent="0.2">
      <c r="A160" s="46">
        <v>21.236916460455891</v>
      </c>
      <c r="B160" s="47">
        <f>IF([2]Datos!B159="Estructurados",1,0)</f>
        <v>0</v>
      </c>
      <c r="C160" s="48">
        <v>4</v>
      </c>
      <c r="D160" s="47">
        <v>5</v>
      </c>
      <c r="E160" s="47">
        <v>4</v>
      </c>
      <c r="F160" s="47">
        <v>15.75548378516277</v>
      </c>
    </row>
    <row r="161" spans="1:6" x14ac:dyDescent="0.2">
      <c r="A161" s="46">
        <v>12.40434825139867</v>
      </c>
      <c r="B161" s="47">
        <f>IF([2]Datos!B160="Estructurados",1,0)</f>
        <v>1</v>
      </c>
      <c r="C161" s="48">
        <v>5</v>
      </c>
      <c r="D161" s="47">
        <v>6</v>
      </c>
      <c r="E161" s="47">
        <v>2</v>
      </c>
      <c r="F161" s="47">
        <v>10.242459458754769</v>
      </c>
    </row>
    <row r="162" spans="1:6" x14ac:dyDescent="0.2">
      <c r="A162" s="46">
        <v>24.328276804316911</v>
      </c>
      <c r="B162" s="47">
        <f>IF([2]Datos!B161="Estructurados",1,0)</f>
        <v>0</v>
      </c>
      <c r="C162" s="48">
        <v>4</v>
      </c>
      <c r="D162" s="47">
        <v>9</v>
      </c>
      <c r="E162" s="47">
        <v>5</v>
      </c>
      <c r="F162" s="47">
        <v>15.092852559991121</v>
      </c>
    </row>
    <row r="163" spans="1:6" x14ac:dyDescent="0.2">
      <c r="A163" s="46">
        <v>15.51265916488634</v>
      </c>
      <c r="B163" s="47">
        <f>IF([2]Datos!B162="Estructurados",1,0)</f>
        <v>1</v>
      </c>
      <c r="C163" s="48">
        <v>2</v>
      </c>
      <c r="D163" s="47">
        <v>2</v>
      </c>
      <c r="E163" s="47">
        <v>1</v>
      </c>
      <c r="F163" s="47">
        <v>13.391618805698091</v>
      </c>
    </row>
    <row r="164" spans="1:6" x14ac:dyDescent="0.2">
      <c r="A164" s="46">
        <v>12.39354230187123</v>
      </c>
      <c r="B164" s="47">
        <f>IF([2]Datos!B163="Estructurados",1,0)</f>
        <v>0</v>
      </c>
      <c r="C164" s="48">
        <v>3</v>
      </c>
      <c r="D164" s="47">
        <v>12</v>
      </c>
      <c r="E164" s="47">
        <v>1</v>
      </c>
      <c r="F164" s="47">
        <v>12.256417270036311</v>
      </c>
    </row>
    <row r="165" spans="1:6" x14ac:dyDescent="0.2">
      <c r="A165" s="46">
        <v>17.579297789503698</v>
      </c>
      <c r="B165" s="47">
        <f>IF([2]Datos!B164="Estructurados",1,0)</f>
        <v>1</v>
      </c>
      <c r="C165" s="48">
        <v>2</v>
      </c>
      <c r="D165" s="47">
        <v>3</v>
      </c>
      <c r="E165" s="47">
        <v>5</v>
      </c>
      <c r="F165" s="47">
        <v>19.33973760273928</v>
      </c>
    </row>
    <row r="166" spans="1:6" x14ac:dyDescent="0.2">
      <c r="A166" s="46">
        <v>8.5896588408241445</v>
      </c>
      <c r="B166" s="47">
        <f>IF([2]Datos!B165="Estructurados",1,0)</f>
        <v>1</v>
      </c>
      <c r="C166" s="48">
        <v>4</v>
      </c>
      <c r="D166" s="47">
        <v>20</v>
      </c>
      <c r="E166" s="47">
        <v>1</v>
      </c>
      <c r="F166" s="47">
        <v>13.666597849211909</v>
      </c>
    </row>
    <row r="167" spans="1:6" x14ac:dyDescent="0.2">
      <c r="A167" s="46">
        <v>7.4816880646221611</v>
      </c>
      <c r="B167" s="47">
        <f>IF([2]Datos!B166="Estructurados",1,0)</f>
        <v>1</v>
      </c>
      <c r="C167" s="48">
        <v>4</v>
      </c>
      <c r="D167" s="47">
        <v>12</v>
      </c>
      <c r="E167" s="47">
        <v>1</v>
      </c>
      <c r="F167" s="47">
        <v>12.62400762397386</v>
      </c>
    </row>
    <row r="168" spans="1:6" x14ac:dyDescent="0.2">
      <c r="A168" s="46">
        <v>14.206390463468249</v>
      </c>
      <c r="B168" s="47">
        <f>IF([2]Datos!B167="Estructurados",1,0)</f>
        <v>0</v>
      </c>
      <c r="C168" s="48">
        <v>5</v>
      </c>
      <c r="D168" s="47">
        <v>17</v>
      </c>
      <c r="E168" s="47">
        <v>1</v>
      </c>
      <c r="F168" s="47">
        <v>14.81795993977811</v>
      </c>
    </row>
    <row r="169" spans="1:6" x14ac:dyDescent="0.2">
      <c r="A169" s="46">
        <v>13.411030079997239</v>
      </c>
      <c r="B169" s="47">
        <f>IF([2]Datos!B168="Estructurados",1,0)</f>
        <v>1</v>
      </c>
      <c r="C169" s="48">
        <v>4</v>
      </c>
      <c r="D169" s="47">
        <v>10</v>
      </c>
      <c r="E169" s="47">
        <v>4</v>
      </c>
      <c r="F169" s="47">
        <v>10.224654640200299</v>
      </c>
    </row>
    <row r="170" spans="1:6" x14ac:dyDescent="0.2">
      <c r="A170" s="46">
        <v>10.948396491326969</v>
      </c>
      <c r="B170" s="47">
        <f>IF([2]Datos!B169="Estructurados",1,0)</f>
        <v>0</v>
      </c>
      <c r="C170" s="48">
        <v>4</v>
      </c>
      <c r="D170" s="47">
        <v>14</v>
      </c>
      <c r="E170" s="47">
        <v>4</v>
      </c>
      <c r="F170" s="47">
        <v>15.016864536819719</v>
      </c>
    </row>
    <row r="171" spans="1:6" x14ac:dyDescent="0.2">
      <c r="A171" s="46">
        <v>15.877305941998561</v>
      </c>
      <c r="B171" s="47">
        <f>IF([2]Datos!B170="Estructurados",1,0)</f>
        <v>0</v>
      </c>
      <c r="C171" s="48">
        <v>5</v>
      </c>
      <c r="D171" s="47">
        <v>17</v>
      </c>
      <c r="E171" s="47">
        <v>3</v>
      </c>
      <c r="F171" s="47">
        <v>13.5767790708205</v>
      </c>
    </row>
    <row r="172" spans="1:6" x14ac:dyDescent="0.2">
      <c r="A172" s="46">
        <v>16.623131917821251</v>
      </c>
      <c r="B172" s="47">
        <f>IF([2]Datos!B171="Estructurados",1,0)</f>
        <v>1</v>
      </c>
      <c r="C172" s="48">
        <v>2</v>
      </c>
      <c r="D172" s="47">
        <v>18</v>
      </c>
      <c r="E172" s="47">
        <v>2</v>
      </c>
      <c r="F172" s="47">
        <v>18.429304238668081</v>
      </c>
    </row>
    <row r="173" spans="1:6" x14ac:dyDescent="0.2">
      <c r="A173" s="46">
        <v>12.555242785187239</v>
      </c>
      <c r="B173" s="47">
        <f>IF([2]Datos!B172="Estructurados",1,0)</f>
        <v>1</v>
      </c>
      <c r="C173" s="48">
        <v>4</v>
      </c>
      <c r="D173" s="47">
        <v>19</v>
      </c>
      <c r="E173" s="47">
        <v>5</v>
      </c>
      <c r="F173" s="47">
        <v>14.71801004901179</v>
      </c>
    </row>
    <row r="174" spans="1:6" x14ac:dyDescent="0.2">
      <c r="A174" s="46">
        <v>12.59209485751728</v>
      </c>
      <c r="B174" s="47">
        <f>IF([2]Datos!B173="Estructurados",1,0)</f>
        <v>1</v>
      </c>
      <c r="C174" s="48">
        <v>5</v>
      </c>
      <c r="D174" s="47">
        <v>17</v>
      </c>
      <c r="E174" s="47">
        <v>5</v>
      </c>
      <c r="F174" s="47">
        <v>18.7667016854206</v>
      </c>
    </row>
    <row r="175" spans="1:6" x14ac:dyDescent="0.2">
      <c r="A175" s="46">
        <v>17.961449145292949</v>
      </c>
      <c r="B175" s="47">
        <f>IF([2]Datos!B174="Estructurados",1,0)</f>
        <v>0</v>
      </c>
      <c r="C175" s="48">
        <v>3</v>
      </c>
      <c r="D175" s="47">
        <v>14</v>
      </c>
      <c r="E175" s="47">
        <v>5</v>
      </c>
      <c r="F175" s="47">
        <v>17.432208229196821</v>
      </c>
    </row>
    <row r="176" spans="1:6" x14ac:dyDescent="0.2">
      <c r="A176" s="46">
        <v>14.17057598740832</v>
      </c>
      <c r="B176" s="47">
        <f>IF([2]Datos!B175="Estructurados",1,0)</f>
        <v>1</v>
      </c>
      <c r="C176" s="48">
        <v>5</v>
      </c>
      <c r="D176" s="47">
        <v>9</v>
      </c>
      <c r="E176" s="47">
        <v>3</v>
      </c>
      <c r="F176" s="47">
        <v>17.702897190276499</v>
      </c>
    </row>
    <row r="177" spans="1:6" x14ac:dyDescent="0.2">
      <c r="A177" s="46">
        <v>9.1383453996650097</v>
      </c>
      <c r="B177" s="47">
        <f>IF([2]Datos!B176="Estructurados",1,0)</f>
        <v>0</v>
      </c>
      <c r="C177" s="48">
        <v>4</v>
      </c>
      <c r="D177" s="47">
        <v>8</v>
      </c>
      <c r="E177" s="47">
        <v>4</v>
      </c>
      <c r="F177" s="47">
        <v>11.15677986477284</v>
      </c>
    </row>
    <row r="178" spans="1:6" x14ac:dyDescent="0.2">
      <c r="A178" s="46">
        <v>7.4135916245180118</v>
      </c>
      <c r="B178" s="47">
        <f>IF([2]Datos!B177="Estructurados",1,0)</f>
        <v>0</v>
      </c>
      <c r="C178" s="48">
        <v>4</v>
      </c>
      <c r="D178" s="47">
        <v>2</v>
      </c>
      <c r="E178" s="47">
        <v>3</v>
      </c>
      <c r="F178" s="47">
        <v>8.3635787739213399</v>
      </c>
    </row>
    <row r="179" spans="1:6" x14ac:dyDescent="0.2">
      <c r="A179" s="46">
        <v>9.0065009459389529</v>
      </c>
      <c r="B179" s="47">
        <f>IF([2]Datos!B178="Estructurados",1,0)</f>
        <v>1</v>
      </c>
      <c r="C179" s="48">
        <v>5</v>
      </c>
      <c r="D179" s="47">
        <v>13</v>
      </c>
      <c r="E179" s="47">
        <v>5</v>
      </c>
      <c r="F179" s="47">
        <v>9.8859895735005967</v>
      </c>
    </row>
    <row r="180" spans="1:6" x14ac:dyDescent="0.2">
      <c r="A180" s="46">
        <v>18.726767038578661</v>
      </c>
      <c r="B180" s="47">
        <f>IF([2]Datos!B179="Estructurados",1,0)</f>
        <v>1</v>
      </c>
      <c r="C180" s="48">
        <v>5</v>
      </c>
      <c r="D180" s="47">
        <v>7</v>
      </c>
      <c r="E180" s="47">
        <v>2</v>
      </c>
      <c r="F180" s="47">
        <v>12.11636004185528</v>
      </c>
    </row>
    <row r="181" spans="1:6" x14ac:dyDescent="0.2">
      <c r="A181" s="46">
        <v>24.867671583381021</v>
      </c>
      <c r="B181" s="47">
        <f>IF([2]Datos!B180="Estructurados",1,0)</f>
        <v>1</v>
      </c>
      <c r="C181" s="48">
        <v>4</v>
      </c>
      <c r="D181" s="47">
        <v>9</v>
      </c>
      <c r="E181" s="47">
        <v>1</v>
      </c>
      <c r="F181" s="47">
        <v>16.111705997573811</v>
      </c>
    </row>
    <row r="182" spans="1:6" x14ac:dyDescent="0.2">
      <c r="A182" s="46">
        <v>9.3600845832948103</v>
      </c>
      <c r="B182" s="47">
        <f>IF([2]Datos!B181="Estructurados",1,0)</f>
        <v>1</v>
      </c>
      <c r="C182" s="48">
        <v>4</v>
      </c>
      <c r="D182" s="47">
        <v>11</v>
      </c>
      <c r="E182" s="47">
        <v>4</v>
      </c>
      <c r="F182" s="47">
        <v>15.42393892409355</v>
      </c>
    </row>
    <row r="183" spans="1:6" x14ac:dyDescent="0.2">
      <c r="A183" s="46">
        <v>16.312833673882501</v>
      </c>
      <c r="B183" s="47">
        <f>IF([2]Datos!B182="Estructurados",1,0)</f>
        <v>1</v>
      </c>
      <c r="C183" s="48">
        <v>4</v>
      </c>
      <c r="D183" s="47">
        <v>14</v>
      </c>
      <c r="E183" s="47">
        <v>4</v>
      </c>
      <c r="F183" s="47">
        <v>22.449473364547892</v>
      </c>
    </row>
    <row r="184" spans="1:6" x14ac:dyDescent="0.2">
      <c r="A184" s="46">
        <v>13.57142122179186</v>
      </c>
      <c r="B184" s="47">
        <f>IF([2]Datos!B183="Estructurados",1,0)</f>
        <v>1</v>
      </c>
      <c r="C184" s="48">
        <v>3</v>
      </c>
      <c r="D184" s="47">
        <v>4</v>
      </c>
      <c r="E184" s="47">
        <v>3</v>
      </c>
      <c r="F184" s="47">
        <v>11.86772619371134</v>
      </c>
    </row>
    <row r="185" spans="1:6" x14ac:dyDescent="0.2">
      <c r="A185" s="46">
        <v>5.4645537509694444</v>
      </c>
      <c r="B185" s="47">
        <f>IF([2]Datos!B184="Estructurados",1,0)</f>
        <v>0</v>
      </c>
      <c r="C185" s="48">
        <v>5</v>
      </c>
      <c r="D185" s="47">
        <v>13</v>
      </c>
      <c r="E185" s="47">
        <v>4</v>
      </c>
      <c r="F185" s="47">
        <v>9.2099137871603993</v>
      </c>
    </row>
    <row r="186" spans="1:6" x14ac:dyDescent="0.2">
      <c r="A186" s="46">
        <v>14.24123620762159</v>
      </c>
      <c r="B186" s="47">
        <f>IF([2]Datos!B185="Estructurados",1,0)</f>
        <v>0</v>
      </c>
      <c r="C186" s="48">
        <v>3</v>
      </c>
      <c r="D186" s="47">
        <v>2</v>
      </c>
      <c r="E186" s="47">
        <v>5</v>
      </c>
      <c r="F186" s="47">
        <v>16.072799401406179</v>
      </c>
    </row>
    <row r="187" spans="1:6" x14ac:dyDescent="0.2">
      <c r="A187" s="46">
        <v>11.88826860733707</v>
      </c>
      <c r="B187" s="47">
        <f>IF([2]Datos!B186="Estructurados",1,0)</f>
        <v>0</v>
      </c>
      <c r="C187" s="48">
        <v>4</v>
      </c>
      <c r="D187" s="47">
        <v>5</v>
      </c>
      <c r="E187" s="47">
        <v>5</v>
      </c>
      <c r="F187" s="47">
        <v>9.4077383272876762</v>
      </c>
    </row>
    <row r="188" spans="1:6" x14ac:dyDescent="0.2">
      <c r="A188" s="46">
        <v>15.35700024704605</v>
      </c>
      <c r="B188" s="47">
        <f>IF([2]Datos!B187="Estructurados",1,0)</f>
        <v>1</v>
      </c>
      <c r="C188" s="48">
        <v>4</v>
      </c>
      <c r="D188" s="47">
        <v>11</v>
      </c>
      <c r="E188" s="47">
        <v>3</v>
      </c>
      <c r="F188" s="47">
        <v>15.18444788047703</v>
      </c>
    </row>
    <row r="189" spans="1:6" x14ac:dyDescent="0.2">
      <c r="A189" s="46">
        <v>16.236618812286771</v>
      </c>
      <c r="B189" s="47">
        <f>IF([2]Datos!B188="Estructurados",1,0)</f>
        <v>0</v>
      </c>
      <c r="C189" s="48">
        <v>4</v>
      </c>
      <c r="D189" s="47">
        <v>6</v>
      </c>
      <c r="E189" s="47">
        <v>5</v>
      </c>
      <c r="F189" s="47">
        <v>11.922808079836431</v>
      </c>
    </row>
    <row r="190" spans="1:6" x14ac:dyDescent="0.2">
      <c r="A190" s="46">
        <v>16.963585543671559</v>
      </c>
      <c r="B190" s="47">
        <f>IF([2]Datos!B189="Estructurados",1,0)</f>
        <v>0</v>
      </c>
      <c r="C190" s="48">
        <v>4</v>
      </c>
      <c r="D190" s="47">
        <v>18</v>
      </c>
      <c r="E190" s="47">
        <v>2</v>
      </c>
      <c r="F190" s="47">
        <v>15.234096367325551</v>
      </c>
    </row>
    <row r="191" spans="1:6" x14ac:dyDescent="0.2">
      <c r="A191" s="46">
        <v>12.576603140965799</v>
      </c>
      <c r="B191" s="47">
        <f>IF([2]Datos!B190="Estructurados",1,0)</f>
        <v>0</v>
      </c>
      <c r="C191" s="48">
        <v>5</v>
      </c>
      <c r="D191" s="47">
        <v>10</v>
      </c>
      <c r="E191" s="47">
        <v>3</v>
      </c>
      <c r="F191" s="47">
        <v>15.60885032699257</v>
      </c>
    </row>
    <row r="192" spans="1:6" x14ac:dyDescent="0.2">
      <c r="A192" s="46">
        <v>16.242576387657071</v>
      </c>
      <c r="B192" s="47">
        <f>IF([2]Datos!B191="Estructurados",1,0)</f>
        <v>0</v>
      </c>
      <c r="C192" s="48">
        <v>3</v>
      </c>
      <c r="D192" s="47">
        <v>4</v>
      </c>
      <c r="E192" s="47">
        <v>2</v>
      </c>
      <c r="F192" s="47">
        <v>12.12390774916199</v>
      </c>
    </row>
    <row r="193" spans="1:6" x14ac:dyDescent="0.2">
      <c r="A193" s="46">
        <v>20.77674252396649</v>
      </c>
      <c r="B193" s="47">
        <f>IF([2]Datos!B192="Estructurados",1,0)</f>
        <v>0</v>
      </c>
      <c r="C193" s="48">
        <v>4</v>
      </c>
      <c r="D193" s="47">
        <v>9</v>
      </c>
      <c r="E193" s="47">
        <v>1</v>
      </c>
      <c r="F193" s="47">
        <v>16.782294076875068</v>
      </c>
    </row>
    <row r="194" spans="1:6" x14ac:dyDescent="0.2">
      <c r="A194" s="46">
        <v>23.428199397161741</v>
      </c>
      <c r="B194" s="47">
        <f>IF([2]Datos!B193="Estructurados",1,0)</f>
        <v>1</v>
      </c>
      <c r="C194" s="48">
        <v>3</v>
      </c>
      <c r="D194" s="47">
        <v>6</v>
      </c>
      <c r="E194" s="47">
        <v>2</v>
      </c>
      <c r="F194" s="47">
        <v>17.048536158812219</v>
      </c>
    </row>
    <row r="195" spans="1:6" x14ac:dyDescent="0.2">
      <c r="A195" s="46">
        <v>16.107046872065101</v>
      </c>
      <c r="B195" s="47">
        <f>IF([2]Datos!B194="Estructurados",1,0)</f>
        <v>1</v>
      </c>
      <c r="C195" s="48">
        <v>4</v>
      </c>
      <c r="D195" s="47">
        <v>2</v>
      </c>
      <c r="E195" s="47">
        <v>1</v>
      </c>
      <c r="F195" s="47">
        <v>7.1744570572497341</v>
      </c>
    </row>
    <row r="196" spans="1:6" x14ac:dyDescent="0.2">
      <c r="A196" s="46">
        <v>21.377130610644009</v>
      </c>
      <c r="B196" s="47">
        <f>IF([2]Datos!B195="Estructurados",1,0)</f>
        <v>0</v>
      </c>
      <c r="C196" s="48">
        <v>4</v>
      </c>
      <c r="D196" s="47">
        <v>17</v>
      </c>
      <c r="E196" s="47">
        <v>1</v>
      </c>
      <c r="F196" s="47">
        <v>14.279561608611861</v>
      </c>
    </row>
    <row r="197" spans="1:6" x14ac:dyDescent="0.2">
      <c r="A197" s="46">
        <v>6.0865904629255914</v>
      </c>
      <c r="B197" s="47">
        <f>IF([2]Datos!B196="Estructurados",1,0)</f>
        <v>0</v>
      </c>
      <c r="C197" s="48">
        <v>5</v>
      </c>
      <c r="D197" s="47">
        <v>5</v>
      </c>
      <c r="E197" s="47">
        <v>2</v>
      </c>
      <c r="F197" s="47">
        <v>5.7217608074918491</v>
      </c>
    </row>
    <row r="198" spans="1:6" x14ac:dyDescent="0.2">
      <c r="A198" s="46">
        <v>13.19265868986442</v>
      </c>
      <c r="B198" s="47">
        <f>IF([2]Datos!B197="Estructurados",1,0)</f>
        <v>0</v>
      </c>
      <c r="C198" s="48">
        <v>3</v>
      </c>
      <c r="D198" s="47">
        <v>6</v>
      </c>
      <c r="E198" s="47">
        <v>3</v>
      </c>
      <c r="F198" s="47">
        <v>17.14733127712698</v>
      </c>
    </row>
    <row r="199" spans="1:6" x14ac:dyDescent="0.2">
      <c r="A199" s="46">
        <v>15.55807128189943</v>
      </c>
      <c r="B199" s="47">
        <f>IF([2]Datos!B198="Estructurados",1,0)</f>
        <v>1</v>
      </c>
      <c r="C199" s="48">
        <v>5</v>
      </c>
      <c r="D199" s="47">
        <v>12</v>
      </c>
      <c r="E199" s="47">
        <v>5</v>
      </c>
      <c r="F199" s="47">
        <v>13.74760773170124</v>
      </c>
    </row>
    <row r="200" spans="1:6" x14ac:dyDescent="0.2">
      <c r="A200" s="46">
        <v>19.076862552972759</v>
      </c>
      <c r="B200" s="47">
        <f>IF([2]Datos!B199="Estructurados",1,0)</f>
        <v>1</v>
      </c>
      <c r="C200" s="48">
        <v>5</v>
      </c>
      <c r="D200" s="47">
        <v>10</v>
      </c>
      <c r="E200" s="47">
        <v>5</v>
      </c>
      <c r="F200" s="47">
        <v>18.46693843136898</v>
      </c>
    </row>
    <row r="201" spans="1:6" x14ac:dyDescent="0.2">
      <c r="A201" s="46">
        <v>14.029104359223</v>
      </c>
      <c r="B201" s="47">
        <f>IF([2]Datos!B200="Estructurados",1,0)</f>
        <v>0</v>
      </c>
      <c r="C201" s="48">
        <v>4</v>
      </c>
      <c r="D201" s="47">
        <v>6</v>
      </c>
      <c r="E201" s="47">
        <v>1</v>
      </c>
      <c r="F201" s="47">
        <v>7.3066140165917606</v>
      </c>
    </row>
    <row r="202" spans="1:6" x14ac:dyDescent="0.2">
      <c r="A202" s="46">
        <v>19.428514851084689</v>
      </c>
      <c r="B202" s="47">
        <f>IF([2]Datos!B201="Estructurados",1,0)</f>
        <v>1</v>
      </c>
      <c r="C202" s="48">
        <v>5</v>
      </c>
      <c r="D202" s="47">
        <v>8</v>
      </c>
      <c r="E202" s="47">
        <v>1</v>
      </c>
      <c r="F202" s="47">
        <v>12.23218928376</v>
      </c>
    </row>
    <row r="203" spans="1:6" x14ac:dyDescent="0.2">
      <c r="A203" s="46">
        <v>18.178893680174141</v>
      </c>
      <c r="B203" s="47">
        <f>IF([2]Datos!B202="Estructurados",1,0)</f>
        <v>0</v>
      </c>
      <c r="C203" s="48">
        <v>3</v>
      </c>
      <c r="D203" s="47">
        <v>11</v>
      </c>
      <c r="E203" s="47">
        <v>2</v>
      </c>
      <c r="F203" s="47">
        <v>14.29639386071025</v>
      </c>
    </row>
    <row r="204" spans="1:6" x14ac:dyDescent="0.2">
      <c r="A204" s="46">
        <v>10.280392263184121</v>
      </c>
      <c r="B204" s="47">
        <f>IF([2]Datos!B203="Estructurados",1,0)</f>
        <v>0</v>
      </c>
      <c r="C204" s="48">
        <v>4</v>
      </c>
      <c r="D204" s="47">
        <v>5</v>
      </c>
      <c r="E204" s="47">
        <v>4</v>
      </c>
      <c r="F204" s="47">
        <v>7.6205587555453418</v>
      </c>
    </row>
    <row r="205" spans="1:6" x14ac:dyDescent="0.2">
      <c r="A205" s="46">
        <v>16.541525621587638</v>
      </c>
      <c r="B205" s="47">
        <f>IF([2]Datos!B204="Estructurados",1,0)</f>
        <v>0</v>
      </c>
      <c r="C205" s="48">
        <v>4</v>
      </c>
      <c r="D205" s="47">
        <v>20</v>
      </c>
      <c r="E205" s="47">
        <v>5</v>
      </c>
      <c r="F205" s="47">
        <v>18.898490406192561</v>
      </c>
    </row>
    <row r="206" spans="1:6" x14ac:dyDescent="0.2">
      <c r="A206" s="46">
        <v>19.526901026017448</v>
      </c>
      <c r="B206" s="47">
        <f>IF([2]Datos!B205="Estructurados",1,0)</f>
        <v>1</v>
      </c>
      <c r="C206" s="48">
        <v>5</v>
      </c>
      <c r="D206" s="47">
        <v>11</v>
      </c>
      <c r="E206" s="47">
        <v>1</v>
      </c>
      <c r="F206" s="47">
        <v>17.27027384743247</v>
      </c>
    </row>
    <row r="207" spans="1:6" x14ac:dyDescent="0.2">
      <c r="A207" s="46">
        <v>10.31116531602146</v>
      </c>
      <c r="B207" s="47">
        <f>IF([2]Datos!B206="Estructurados",1,0)</f>
        <v>1</v>
      </c>
      <c r="C207" s="48">
        <v>5</v>
      </c>
      <c r="D207" s="47">
        <v>10</v>
      </c>
      <c r="E207" s="47">
        <v>5</v>
      </c>
      <c r="F207" s="47">
        <v>13.448450906094591</v>
      </c>
    </row>
    <row r="208" spans="1:6" x14ac:dyDescent="0.2">
      <c r="A208" s="46">
        <v>12.531087480042441</v>
      </c>
      <c r="B208" s="47">
        <f>IF([2]Datos!B207="Estructurados",1,0)</f>
        <v>0</v>
      </c>
      <c r="C208" s="48">
        <v>3</v>
      </c>
      <c r="D208" s="47">
        <v>8</v>
      </c>
      <c r="E208" s="47">
        <v>2</v>
      </c>
      <c r="F208" s="47">
        <v>12.97237544123495</v>
      </c>
    </row>
    <row r="209" spans="1:6" x14ac:dyDescent="0.2">
      <c r="A209" s="46">
        <v>14.25751763360433</v>
      </c>
      <c r="B209" s="47">
        <f>IF([2]Datos!B208="Estructurados",1,0)</f>
        <v>1</v>
      </c>
      <c r="C209" s="48">
        <v>2</v>
      </c>
      <c r="D209" s="47">
        <v>6</v>
      </c>
      <c r="E209" s="47">
        <v>5</v>
      </c>
      <c r="F209" s="47">
        <v>11.595320719803</v>
      </c>
    </row>
    <row r="210" spans="1:6" x14ac:dyDescent="0.2">
      <c r="A210" s="46">
        <v>16.2568929754561</v>
      </c>
      <c r="B210" s="47">
        <f>IF([2]Datos!B209="Estructurados",1,0)</f>
        <v>0</v>
      </c>
      <c r="C210" s="48">
        <v>5</v>
      </c>
      <c r="D210" s="47">
        <v>6</v>
      </c>
      <c r="E210" s="47">
        <v>1</v>
      </c>
      <c r="F210" s="47">
        <v>9.1696915503658083</v>
      </c>
    </row>
    <row r="211" spans="1:6" x14ac:dyDescent="0.2">
      <c r="A211" s="46">
        <v>12.25752384315302</v>
      </c>
      <c r="B211" s="47">
        <f>IF([2]Datos!B210="Estructurados",1,0)</f>
        <v>1</v>
      </c>
      <c r="C211" s="48">
        <v>4</v>
      </c>
      <c r="D211" s="47">
        <v>8</v>
      </c>
      <c r="E211" s="47">
        <v>2</v>
      </c>
      <c r="F211" s="47">
        <v>16.448336738348701</v>
      </c>
    </row>
    <row r="212" spans="1:6" x14ac:dyDescent="0.2">
      <c r="A212" s="46">
        <v>15.926365745327359</v>
      </c>
      <c r="B212" s="47">
        <f>IF([2]Datos!B211="Estructurados",1,0)</f>
        <v>0</v>
      </c>
      <c r="C212" s="48">
        <v>3</v>
      </c>
      <c r="D212" s="47">
        <v>15</v>
      </c>
      <c r="E212" s="47">
        <v>5</v>
      </c>
      <c r="F212" s="47">
        <v>18.591826771959031</v>
      </c>
    </row>
    <row r="213" spans="1:6" x14ac:dyDescent="0.2">
      <c r="A213" s="46">
        <v>11.28544525534658</v>
      </c>
      <c r="B213" s="47">
        <f>IF([2]Datos!B212="Estructurados",1,0)</f>
        <v>0</v>
      </c>
      <c r="C213" s="48">
        <v>5</v>
      </c>
      <c r="D213" s="47">
        <v>14</v>
      </c>
      <c r="E213" s="47">
        <v>4</v>
      </c>
      <c r="F213" s="47">
        <v>11.157780762989439</v>
      </c>
    </row>
    <row r="214" spans="1:6" x14ac:dyDescent="0.2">
      <c r="A214" s="46">
        <v>16.567782820090301</v>
      </c>
      <c r="B214" s="47">
        <f>IF([2]Datos!B213="Estructurados",1,0)</f>
        <v>1</v>
      </c>
      <c r="C214" s="48">
        <v>4</v>
      </c>
      <c r="D214" s="47">
        <v>11</v>
      </c>
      <c r="E214" s="47">
        <v>2</v>
      </c>
      <c r="F214" s="47">
        <v>13.972835298955481</v>
      </c>
    </row>
    <row r="215" spans="1:6" x14ac:dyDescent="0.2">
      <c r="A215" s="46">
        <v>16.477000881746601</v>
      </c>
      <c r="B215" s="47">
        <f>IF([2]Datos!B214="Estructurados",1,0)</f>
        <v>1</v>
      </c>
      <c r="C215" s="48">
        <v>5</v>
      </c>
      <c r="D215" s="47">
        <v>12</v>
      </c>
      <c r="E215" s="47">
        <v>2</v>
      </c>
      <c r="F215" s="47">
        <v>12.58964047567537</v>
      </c>
    </row>
    <row r="216" spans="1:6" x14ac:dyDescent="0.2">
      <c r="A216" s="46">
        <v>13.3256956256529</v>
      </c>
      <c r="B216" s="47">
        <f>IF([2]Datos!B215="Estructurados",1,0)</f>
        <v>0</v>
      </c>
      <c r="C216" s="48">
        <v>4</v>
      </c>
      <c r="D216" s="47">
        <v>13</v>
      </c>
      <c r="E216" s="47">
        <v>4</v>
      </c>
      <c r="F216" s="47">
        <v>14.371658607281841</v>
      </c>
    </row>
    <row r="217" spans="1:6" x14ac:dyDescent="0.2">
      <c r="A217" s="46">
        <v>16.84236537767983</v>
      </c>
      <c r="B217" s="47">
        <f>IF([2]Datos!B216="Estructurados",1,0)</f>
        <v>0</v>
      </c>
      <c r="C217" s="48">
        <v>5</v>
      </c>
      <c r="D217" s="47">
        <v>8</v>
      </c>
      <c r="E217" s="47">
        <v>3</v>
      </c>
      <c r="F217" s="47">
        <v>16.170774142705081</v>
      </c>
    </row>
    <row r="218" spans="1:6" x14ac:dyDescent="0.2">
      <c r="A218" s="46">
        <v>10.37948461024663</v>
      </c>
      <c r="B218" s="47">
        <f>IF([2]Datos!B217="Estructurados",1,0)</f>
        <v>1</v>
      </c>
      <c r="C218" s="48">
        <v>5</v>
      </c>
      <c r="D218" s="47">
        <v>18</v>
      </c>
      <c r="E218" s="47">
        <v>1</v>
      </c>
      <c r="F218" s="47">
        <v>15.19947896214626</v>
      </c>
    </row>
    <row r="219" spans="1:6" x14ac:dyDescent="0.2">
      <c r="A219" s="46">
        <v>11.61358739273121</v>
      </c>
      <c r="B219" s="47">
        <f>IF([2]Datos!B218="Estructurados",1,0)</f>
        <v>1</v>
      </c>
      <c r="C219" s="48">
        <v>4</v>
      </c>
      <c r="D219" s="47">
        <v>1</v>
      </c>
      <c r="E219" s="47">
        <v>3</v>
      </c>
      <c r="F219" s="47">
        <v>8.650185209567935</v>
      </c>
    </row>
    <row r="220" spans="1:6" x14ac:dyDescent="0.2">
      <c r="A220" s="46">
        <v>12.881590696629999</v>
      </c>
      <c r="B220" s="47">
        <f>IF([2]Datos!B219="Estructurados",1,0)</f>
        <v>0</v>
      </c>
      <c r="C220" s="48">
        <v>5</v>
      </c>
      <c r="D220" s="47">
        <v>15</v>
      </c>
      <c r="E220" s="47">
        <v>5</v>
      </c>
      <c r="F220" s="47">
        <v>14.669874883324381</v>
      </c>
    </row>
    <row r="221" spans="1:6" x14ac:dyDescent="0.2">
      <c r="A221" s="46">
        <v>14.757318226085451</v>
      </c>
      <c r="B221" s="47">
        <f>IF([2]Datos!B220="Estructurados",1,0)</f>
        <v>1</v>
      </c>
      <c r="C221" s="48">
        <v>5</v>
      </c>
      <c r="D221" s="47">
        <v>8</v>
      </c>
      <c r="E221" s="47">
        <v>4</v>
      </c>
      <c r="F221" s="47">
        <v>8.7653389998218803</v>
      </c>
    </row>
    <row r="222" spans="1:6" x14ac:dyDescent="0.2">
      <c r="A222" s="46">
        <v>9.040937069693161</v>
      </c>
      <c r="B222" s="47">
        <f>IF([2]Datos!B221="Estructurados",1,0)</f>
        <v>0</v>
      </c>
      <c r="C222" s="48">
        <v>5</v>
      </c>
      <c r="D222" s="47">
        <v>11</v>
      </c>
      <c r="E222" s="47">
        <v>3</v>
      </c>
      <c r="F222" s="47">
        <v>8.3133680659232727</v>
      </c>
    </row>
    <row r="223" spans="1:6" x14ac:dyDescent="0.2">
      <c r="A223" s="46">
        <v>7.1573292833367539</v>
      </c>
      <c r="B223" s="47">
        <f>IF([2]Datos!B222="Estructurados",1,0)</f>
        <v>0</v>
      </c>
      <c r="C223" s="48">
        <v>3</v>
      </c>
      <c r="D223" s="47">
        <v>12</v>
      </c>
      <c r="E223" s="47">
        <v>2</v>
      </c>
      <c r="F223" s="47">
        <v>12.95691997258618</v>
      </c>
    </row>
    <row r="224" spans="1:6" x14ac:dyDescent="0.2">
      <c r="A224" s="46">
        <v>13.066367403704129</v>
      </c>
      <c r="B224" s="47">
        <f>IF([2]Datos!B223="Estructurados",1,0)</f>
        <v>0</v>
      </c>
      <c r="C224" s="48">
        <v>5</v>
      </c>
      <c r="D224" s="47">
        <v>12</v>
      </c>
      <c r="E224" s="47">
        <v>5</v>
      </c>
      <c r="F224" s="47">
        <v>11.553318371481801</v>
      </c>
    </row>
    <row r="225" spans="1:6" x14ac:dyDescent="0.2">
      <c r="A225" s="46">
        <v>19.343130095187259</v>
      </c>
      <c r="B225" s="47">
        <f>IF([2]Datos!B224="Estructurados",1,0)</f>
        <v>0</v>
      </c>
      <c r="C225" s="48">
        <v>5</v>
      </c>
      <c r="D225" s="47">
        <v>4</v>
      </c>
      <c r="E225" s="47">
        <v>5</v>
      </c>
      <c r="F225" s="47">
        <v>12.71514515241282</v>
      </c>
    </row>
    <row r="226" spans="1:6" x14ac:dyDescent="0.2">
      <c r="A226" s="46">
        <v>11.19364206440518</v>
      </c>
      <c r="B226" s="47">
        <f>IF([2]Datos!B225="Estructurados",1,0)</f>
        <v>1</v>
      </c>
      <c r="C226" s="48">
        <v>2</v>
      </c>
      <c r="D226" s="47">
        <v>16</v>
      </c>
      <c r="E226" s="47">
        <v>3</v>
      </c>
      <c r="F226" s="47">
        <v>15.621098845933281</v>
      </c>
    </row>
    <row r="227" spans="1:6" x14ac:dyDescent="0.2">
      <c r="A227" s="46">
        <v>9.7640340671052837</v>
      </c>
      <c r="B227" s="47">
        <f>IF([2]Datos!B226="Estructurados",1,0)</f>
        <v>1</v>
      </c>
      <c r="C227" s="48">
        <v>3</v>
      </c>
      <c r="D227" s="47">
        <v>4</v>
      </c>
      <c r="E227" s="47">
        <v>3</v>
      </c>
      <c r="F227" s="47">
        <v>14.052133215763879</v>
      </c>
    </row>
    <row r="228" spans="1:6" x14ac:dyDescent="0.2">
      <c r="A228" s="46">
        <v>18.544475298483679</v>
      </c>
      <c r="B228" s="47">
        <f>IF([2]Datos!B227="Estructurados",1,0)</f>
        <v>1</v>
      </c>
      <c r="C228" s="48">
        <v>2</v>
      </c>
      <c r="D228" s="47">
        <v>5</v>
      </c>
      <c r="E228" s="47">
        <v>4</v>
      </c>
      <c r="F228" s="47">
        <v>11.59008203691287</v>
      </c>
    </row>
    <row r="229" spans="1:6" x14ac:dyDescent="0.2">
      <c r="A229" s="46">
        <v>17.032140009547732</v>
      </c>
      <c r="B229" s="47">
        <f>IF([2]Datos!B228="Estructurados",1,0)</f>
        <v>1</v>
      </c>
      <c r="C229" s="48">
        <v>4</v>
      </c>
      <c r="D229" s="47">
        <v>5</v>
      </c>
      <c r="E229" s="47">
        <v>1</v>
      </c>
      <c r="F229" s="47">
        <v>3.0052545539187729</v>
      </c>
    </row>
    <row r="230" spans="1:6" x14ac:dyDescent="0.2">
      <c r="A230" s="46">
        <v>17.461127611035351</v>
      </c>
      <c r="B230" s="47">
        <f>IF([2]Datos!B229="Estructurados",1,0)</f>
        <v>1</v>
      </c>
      <c r="C230" s="48">
        <v>5</v>
      </c>
      <c r="D230" s="47">
        <v>8</v>
      </c>
      <c r="E230" s="47">
        <v>3</v>
      </c>
      <c r="F230" s="47">
        <v>11.136391050571451</v>
      </c>
    </row>
    <row r="231" spans="1:6" x14ac:dyDescent="0.2">
      <c r="A231" s="46">
        <v>12.64234814537002</v>
      </c>
      <c r="B231" s="47">
        <f>IF([2]Datos!B230="Estructurados",1,0)</f>
        <v>1</v>
      </c>
      <c r="C231" s="48">
        <v>5</v>
      </c>
      <c r="D231" s="47">
        <v>10</v>
      </c>
      <c r="E231" s="47">
        <v>3</v>
      </c>
      <c r="F231" s="47">
        <v>15.353077633484091</v>
      </c>
    </row>
    <row r="232" spans="1:6" x14ac:dyDescent="0.2">
      <c r="A232" s="46">
        <v>20.339798874467341</v>
      </c>
      <c r="B232" s="47">
        <f>IF([2]Datos!B231="Estructurados",1,0)</f>
        <v>1</v>
      </c>
      <c r="C232" s="48">
        <v>4</v>
      </c>
      <c r="D232" s="47">
        <v>17</v>
      </c>
      <c r="E232" s="47">
        <v>2</v>
      </c>
      <c r="F232" s="47">
        <v>17.623771690471759</v>
      </c>
    </row>
    <row r="233" spans="1:6" x14ac:dyDescent="0.2">
      <c r="A233" s="46">
        <v>12.63481668414143</v>
      </c>
      <c r="B233" s="47">
        <f>IF([2]Datos!B232="Estructurados",1,0)</f>
        <v>0</v>
      </c>
      <c r="C233" s="48">
        <v>5</v>
      </c>
      <c r="D233" s="47">
        <v>9</v>
      </c>
      <c r="E233" s="47">
        <v>5</v>
      </c>
      <c r="F233" s="47">
        <v>14.824961768667629</v>
      </c>
    </row>
    <row r="234" spans="1:6" x14ac:dyDescent="0.2">
      <c r="A234" s="46">
        <v>13.10822929479099</v>
      </c>
      <c r="B234" s="47">
        <f>IF([2]Datos!B233="Estructurados",1,0)</f>
        <v>1</v>
      </c>
      <c r="C234" s="48">
        <v>3</v>
      </c>
      <c r="D234" s="47">
        <v>19</v>
      </c>
      <c r="E234" s="47">
        <v>1</v>
      </c>
      <c r="F234" s="47">
        <v>12.741144868290631</v>
      </c>
    </row>
    <row r="235" spans="1:6" x14ac:dyDescent="0.2">
      <c r="A235" s="46">
        <v>18.022785919951911</v>
      </c>
      <c r="B235" s="47">
        <f>IF([2]Datos!B234="Estructurados",1,0)</f>
        <v>1</v>
      </c>
      <c r="C235" s="48">
        <v>2</v>
      </c>
      <c r="D235" s="47">
        <v>14</v>
      </c>
      <c r="E235" s="47">
        <v>2</v>
      </c>
      <c r="F235" s="47">
        <v>11.590903801834511</v>
      </c>
    </row>
    <row r="236" spans="1:6" x14ac:dyDescent="0.2">
      <c r="A236" s="46">
        <v>20.674199826197089</v>
      </c>
      <c r="B236" s="47">
        <f>IF([2]Datos!B235="Estructurados",1,0)</f>
        <v>0</v>
      </c>
      <c r="C236" s="48">
        <v>4</v>
      </c>
      <c r="D236" s="47">
        <v>8</v>
      </c>
      <c r="E236" s="47">
        <v>4</v>
      </c>
      <c r="F236" s="47">
        <v>15.957554632655601</v>
      </c>
    </row>
    <row r="237" spans="1:6" x14ac:dyDescent="0.2">
      <c r="A237" s="46">
        <v>11.07197204466266</v>
      </c>
      <c r="B237" s="47">
        <f>IF([2]Datos!B236="Estructurados",1,0)</f>
        <v>1</v>
      </c>
      <c r="C237" s="48">
        <v>4</v>
      </c>
      <c r="D237" s="47">
        <v>9</v>
      </c>
      <c r="E237" s="47">
        <v>4</v>
      </c>
      <c r="F237" s="47">
        <v>11.89158378153048</v>
      </c>
    </row>
    <row r="238" spans="1:6" x14ac:dyDescent="0.2">
      <c r="A238" s="46">
        <v>18.316959511159009</v>
      </c>
      <c r="B238" s="47">
        <f>IF([2]Datos!B237="Estructurados",1,0)</f>
        <v>1</v>
      </c>
      <c r="C238" s="48">
        <v>4</v>
      </c>
      <c r="D238" s="47">
        <v>11</v>
      </c>
      <c r="E238" s="47">
        <v>3</v>
      </c>
      <c r="F238" s="47">
        <v>14.105486130637059</v>
      </c>
    </row>
    <row r="239" spans="1:6" x14ac:dyDescent="0.2">
      <c r="A239" s="46">
        <v>16.987428706671199</v>
      </c>
      <c r="B239" s="47">
        <f>IF([2]Datos!B238="Estructurados",1,0)</f>
        <v>0</v>
      </c>
      <c r="C239" s="48">
        <v>2</v>
      </c>
      <c r="D239" s="47">
        <v>1</v>
      </c>
      <c r="E239" s="47">
        <v>3</v>
      </c>
      <c r="F239" s="47">
        <v>16.408711015399739</v>
      </c>
    </row>
    <row r="240" spans="1:6" x14ac:dyDescent="0.2">
      <c r="A240" s="46">
        <v>15.09322715738471</v>
      </c>
      <c r="B240" s="47">
        <f>IF([2]Datos!B239="Estructurados",1,0)</f>
        <v>1</v>
      </c>
      <c r="C240" s="48">
        <v>4</v>
      </c>
      <c r="D240" s="47">
        <v>14</v>
      </c>
      <c r="E240" s="47">
        <v>4</v>
      </c>
      <c r="F240" s="47">
        <v>15.60553488681248</v>
      </c>
    </row>
    <row r="241" spans="1:6" x14ac:dyDescent="0.2">
      <c r="A241" s="46">
        <v>12.66910676761581</v>
      </c>
      <c r="B241" s="47">
        <f>IF([2]Datos!B240="Estructurados",1,0)</f>
        <v>1</v>
      </c>
      <c r="C241" s="48">
        <v>3</v>
      </c>
      <c r="D241" s="47">
        <v>5</v>
      </c>
      <c r="E241" s="47">
        <v>3</v>
      </c>
      <c r="F241" s="47">
        <v>12.41107135303216</v>
      </c>
    </row>
    <row r="242" spans="1:6" x14ac:dyDescent="0.2">
      <c r="A242" s="46">
        <v>21.426216667398108</v>
      </c>
      <c r="B242" s="47">
        <f>IF([2]Datos!B241="Estructurados",1,0)</f>
        <v>1</v>
      </c>
      <c r="C242" s="48">
        <v>5</v>
      </c>
      <c r="D242" s="47">
        <v>14</v>
      </c>
      <c r="E242" s="47">
        <v>1</v>
      </c>
      <c r="F242" s="47">
        <v>15.780962394058269</v>
      </c>
    </row>
    <row r="243" spans="1:6" x14ac:dyDescent="0.2">
      <c r="A243" s="46">
        <v>13.60373963078365</v>
      </c>
      <c r="B243" s="47">
        <f>IF([2]Datos!B242="Estructurados",1,0)</f>
        <v>0</v>
      </c>
      <c r="C243" s="48">
        <v>4</v>
      </c>
      <c r="D243" s="47">
        <v>4</v>
      </c>
      <c r="E243" s="47">
        <v>3</v>
      </c>
      <c r="F243" s="47">
        <v>12.92099229096441</v>
      </c>
    </row>
    <row r="244" spans="1:6" x14ac:dyDescent="0.2">
      <c r="A244" s="46">
        <v>11.94263177926655</v>
      </c>
      <c r="B244" s="47">
        <f>IF([2]Datos!B243="Estructurados",1,0)</f>
        <v>1</v>
      </c>
      <c r="C244" s="48">
        <v>3</v>
      </c>
      <c r="D244" s="47">
        <v>1</v>
      </c>
      <c r="E244" s="47">
        <v>5</v>
      </c>
      <c r="F244" s="47">
        <v>15.111929896996079</v>
      </c>
    </row>
    <row r="245" spans="1:6" x14ac:dyDescent="0.2">
      <c r="A245" s="46">
        <v>12.252493639490231</v>
      </c>
      <c r="B245" s="47">
        <f>IF([2]Datos!B244="Estructurados",1,0)</f>
        <v>1</v>
      </c>
      <c r="C245" s="48">
        <v>3</v>
      </c>
      <c r="D245" s="47">
        <v>19</v>
      </c>
      <c r="E245" s="47">
        <v>3</v>
      </c>
      <c r="F245" s="47">
        <v>17.139588115991881</v>
      </c>
    </row>
    <row r="246" spans="1:6" x14ac:dyDescent="0.2">
      <c r="A246" s="46">
        <v>22.43287759708506</v>
      </c>
      <c r="B246" s="47">
        <f>IF([2]Datos!B245="Estructurados",1,0)</f>
        <v>0</v>
      </c>
      <c r="C246" s="48">
        <v>3</v>
      </c>
      <c r="D246" s="47">
        <v>8</v>
      </c>
      <c r="E246" s="47">
        <v>2</v>
      </c>
      <c r="F246" s="47">
        <v>18.077021935919529</v>
      </c>
    </row>
    <row r="247" spans="1:6" x14ac:dyDescent="0.2">
      <c r="A247" s="46">
        <v>18.39985179647211</v>
      </c>
      <c r="B247" s="47">
        <f>IF([2]Datos!B246="Estructurados",1,0)</f>
        <v>1</v>
      </c>
      <c r="C247" s="48">
        <v>4</v>
      </c>
      <c r="D247" s="47">
        <v>15</v>
      </c>
      <c r="E247" s="47">
        <v>1</v>
      </c>
      <c r="F247" s="47">
        <v>13.205001542880639</v>
      </c>
    </row>
    <row r="248" spans="1:6" x14ac:dyDescent="0.2">
      <c r="A248" s="46">
        <v>20.83274938207953</v>
      </c>
      <c r="B248" s="47">
        <f>IF([2]Datos!B247="Estructurados",1,0)</f>
        <v>0</v>
      </c>
      <c r="C248" s="48">
        <v>5</v>
      </c>
      <c r="D248" s="47">
        <v>15</v>
      </c>
      <c r="E248" s="47">
        <v>2</v>
      </c>
      <c r="F248" s="47">
        <v>16.41049876970343</v>
      </c>
    </row>
    <row r="249" spans="1:6" x14ac:dyDescent="0.2">
      <c r="A249" s="46">
        <v>12.762527344419521</v>
      </c>
      <c r="B249" s="47">
        <f>IF([2]Datos!B248="Estructurados",1,0)</f>
        <v>0</v>
      </c>
      <c r="C249" s="48">
        <v>3</v>
      </c>
      <c r="D249" s="47">
        <v>9</v>
      </c>
      <c r="E249" s="47">
        <v>2</v>
      </c>
      <c r="F249" s="47">
        <v>9.9863709284476005</v>
      </c>
    </row>
    <row r="250" spans="1:6" x14ac:dyDescent="0.2">
      <c r="A250" s="46">
        <v>11.673335383713139</v>
      </c>
      <c r="B250" s="47">
        <f>IF([2]Datos!B249="Estructurados",1,0)</f>
        <v>1</v>
      </c>
      <c r="C250" s="48">
        <v>5</v>
      </c>
      <c r="D250" s="47">
        <v>9</v>
      </c>
      <c r="E250" s="47">
        <v>5</v>
      </c>
      <c r="F250" s="47">
        <v>10.27809612523933</v>
      </c>
    </row>
    <row r="251" spans="1:6" x14ac:dyDescent="0.2">
      <c r="A251" s="46">
        <v>14.882727120140551</v>
      </c>
      <c r="B251" s="47">
        <f>IF([2]Datos!B250="Estructurados",1,0)</f>
        <v>0</v>
      </c>
      <c r="C251" s="48">
        <v>3</v>
      </c>
      <c r="D251" s="47">
        <v>10</v>
      </c>
      <c r="E251" s="47">
        <v>1</v>
      </c>
      <c r="F251" s="47">
        <v>11.11449502615293</v>
      </c>
    </row>
    <row r="252" spans="1:6" x14ac:dyDescent="0.2">
      <c r="A252" s="46">
        <v>10.20249085548048</v>
      </c>
      <c r="B252" s="47">
        <f>IF([2]Datos!B251="Estructurados",1,0)</f>
        <v>0</v>
      </c>
      <c r="C252" s="48">
        <v>3</v>
      </c>
      <c r="D252" s="47">
        <v>20</v>
      </c>
      <c r="E252" s="47">
        <v>1</v>
      </c>
      <c r="F252" s="47">
        <v>15.52473324927319</v>
      </c>
    </row>
    <row r="253" spans="1:6" x14ac:dyDescent="0.2">
      <c r="A253" s="46">
        <v>22.369558022832479</v>
      </c>
      <c r="B253" s="47">
        <f>IF([2]Datos!B252="Estructurados",1,0)</f>
        <v>1</v>
      </c>
      <c r="C253" s="48">
        <v>4</v>
      </c>
      <c r="D253" s="47">
        <v>9</v>
      </c>
      <c r="E253" s="47">
        <v>1</v>
      </c>
      <c r="F253" s="47">
        <v>17.339900653426739</v>
      </c>
    </row>
    <row r="254" spans="1:6" x14ac:dyDescent="0.2">
      <c r="A254" s="46">
        <v>15.458930973527391</v>
      </c>
      <c r="B254" s="47">
        <f>IF([2]Datos!B253="Estructurados",1,0)</f>
        <v>0</v>
      </c>
      <c r="C254" s="48">
        <v>3</v>
      </c>
      <c r="D254" s="47">
        <v>3</v>
      </c>
      <c r="E254" s="47">
        <v>1</v>
      </c>
      <c r="F254" s="47">
        <v>13.68962559377943</v>
      </c>
    </row>
    <row r="255" spans="1:6" x14ac:dyDescent="0.2">
      <c r="A255" s="46">
        <v>26.061078098506322</v>
      </c>
      <c r="B255" s="47">
        <f>IF([2]Datos!B254="Estructurados",1,0)</f>
        <v>0</v>
      </c>
      <c r="C255" s="48">
        <v>3</v>
      </c>
      <c r="D255" s="47">
        <v>20</v>
      </c>
      <c r="E255" s="47">
        <v>1</v>
      </c>
      <c r="F255" s="47">
        <v>17.547493797688219</v>
      </c>
    </row>
    <row r="256" spans="1:6" x14ac:dyDescent="0.2">
      <c r="A256" s="46">
        <v>15.516232630275571</v>
      </c>
      <c r="B256" s="47">
        <f>IF([2]Datos!B255="Estructurados",1,0)</f>
        <v>1</v>
      </c>
      <c r="C256" s="48">
        <v>3</v>
      </c>
      <c r="D256" s="47">
        <v>11</v>
      </c>
      <c r="E256" s="47">
        <v>5</v>
      </c>
      <c r="F256" s="47">
        <v>13.933968741826829</v>
      </c>
    </row>
    <row r="257" spans="1:6" x14ac:dyDescent="0.2">
      <c r="A257" s="46">
        <v>11.24031501702299</v>
      </c>
      <c r="B257" s="47">
        <f>IF([2]Datos!B256="Estructurados",1,0)</f>
        <v>1</v>
      </c>
      <c r="C257" s="48">
        <v>5</v>
      </c>
      <c r="D257" s="47">
        <v>6</v>
      </c>
      <c r="E257" s="47">
        <v>3</v>
      </c>
      <c r="F257" s="47">
        <v>15.045733601965001</v>
      </c>
    </row>
    <row r="258" spans="1:6" x14ac:dyDescent="0.2">
      <c r="A258" s="46">
        <v>15.757882963566869</v>
      </c>
      <c r="B258" s="47">
        <f>IF([2]Datos!B257="Estructurados",1,0)</f>
        <v>1</v>
      </c>
      <c r="C258" s="48">
        <v>4</v>
      </c>
      <c r="D258" s="47">
        <v>2</v>
      </c>
      <c r="E258" s="47">
        <v>2</v>
      </c>
      <c r="F258" s="47">
        <v>8.1179702546868704</v>
      </c>
    </row>
    <row r="259" spans="1:6" x14ac:dyDescent="0.2">
      <c r="A259" s="46">
        <v>7.6334555745933113</v>
      </c>
      <c r="B259" s="47">
        <f>IF([2]Datos!B258="Estructurados",1,0)</f>
        <v>0</v>
      </c>
      <c r="C259" s="48">
        <v>3</v>
      </c>
      <c r="D259" s="47">
        <v>7</v>
      </c>
      <c r="E259" s="47">
        <v>1</v>
      </c>
      <c r="F259" s="47">
        <v>10.37135575041046</v>
      </c>
    </row>
    <row r="260" spans="1:6" x14ac:dyDescent="0.2">
      <c r="A260" s="46">
        <v>20.646165267190611</v>
      </c>
      <c r="B260" s="47">
        <f>IF([2]Datos!B259="Estructurados",1,0)</f>
        <v>1</v>
      </c>
      <c r="C260" s="48">
        <v>4</v>
      </c>
      <c r="D260" s="47">
        <v>18</v>
      </c>
      <c r="E260" s="47">
        <v>3</v>
      </c>
      <c r="F260" s="47">
        <v>17.008002809339899</v>
      </c>
    </row>
    <row r="261" spans="1:6" x14ac:dyDescent="0.2">
      <c r="A261" s="46">
        <v>10.22190971407311</v>
      </c>
      <c r="B261" s="47">
        <f>IF([2]Datos!B260="Estructurados",1,0)</f>
        <v>0</v>
      </c>
      <c r="C261" s="48">
        <v>4</v>
      </c>
      <c r="D261" s="47">
        <v>2</v>
      </c>
      <c r="E261" s="47">
        <v>3</v>
      </c>
      <c r="F261" s="47">
        <v>12.3219200052316</v>
      </c>
    </row>
    <row r="262" spans="1:6" x14ac:dyDescent="0.2">
      <c r="A262" s="46">
        <v>17.387317026714669</v>
      </c>
      <c r="B262" s="47">
        <f>IF([2]Datos!B261="Estructurados",1,0)</f>
        <v>0</v>
      </c>
      <c r="C262" s="48">
        <v>4</v>
      </c>
      <c r="D262" s="47">
        <v>17</v>
      </c>
      <c r="E262" s="47">
        <v>2</v>
      </c>
      <c r="F262" s="47">
        <v>11.62332668179614</v>
      </c>
    </row>
    <row r="263" spans="1:6" x14ac:dyDescent="0.2">
      <c r="A263" s="46">
        <v>11.536534764210961</v>
      </c>
      <c r="B263" s="47">
        <f>IF([2]Datos!B262="Estructurados",1,0)</f>
        <v>0</v>
      </c>
      <c r="C263" s="48">
        <v>5</v>
      </c>
      <c r="D263" s="47">
        <v>11</v>
      </c>
      <c r="E263" s="47">
        <v>5</v>
      </c>
      <c r="F263" s="47">
        <v>16.136270958977331</v>
      </c>
    </row>
    <row r="264" spans="1:6" x14ac:dyDescent="0.2">
      <c r="A264" s="46">
        <v>12.970237321969099</v>
      </c>
      <c r="B264" s="47">
        <f>IF([2]Datos!B263="Estructurados",1,0)</f>
        <v>0</v>
      </c>
      <c r="C264" s="48">
        <v>5</v>
      </c>
      <c r="D264" s="47">
        <v>12</v>
      </c>
      <c r="E264" s="47">
        <v>4</v>
      </c>
      <c r="F264" s="47">
        <v>13.151274802202931</v>
      </c>
    </row>
    <row r="265" spans="1:6" x14ac:dyDescent="0.2">
      <c r="A265" s="46">
        <v>15.37936632996546</v>
      </c>
      <c r="B265" s="47">
        <f>IF([2]Datos!B264="Estructurados",1,0)</f>
        <v>0</v>
      </c>
      <c r="C265" s="48">
        <v>3</v>
      </c>
      <c r="D265" s="47">
        <v>19</v>
      </c>
      <c r="E265" s="47">
        <v>4</v>
      </c>
      <c r="F265" s="47">
        <v>17.243524077586098</v>
      </c>
    </row>
    <row r="266" spans="1:6" x14ac:dyDescent="0.2">
      <c r="A266" s="46">
        <v>8.4878061793328552</v>
      </c>
      <c r="B266" s="47">
        <f>IF([2]Datos!B265="Estructurados",1,0)</f>
        <v>0</v>
      </c>
      <c r="C266" s="48">
        <v>3</v>
      </c>
      <c r="D266" s="47">
        <v>7</v>
      </c>
      <c r="E266" s="47">
        <v>3</v>
      </c>
      <c r="F266" s="47">
        <v>10.116153266875759</v>
      </c>
    </row>
    <row r="267" spans="1:6" x14ac:dyDescent="0.2">
      <c r="A267" s="46">
        <v>12.87371592430342</v>
      </c>
      <c r="B267" s="47">
        <f>IF([2]Datos!B266="Estructurados",1,0)</f>
        <v>0</v>
      </c>
      <c r="C267" s="48">
        <v>4</v>
      </c>
      <c r="D267" s="47">
        <v>20</v>
      </c>
      <c r="E267" s="47">
        <v>2</v>
      </c>
      <c r="F267" s="47">
        <v>15.346063839118081</v>
      </c>
    </row>
    <row r="268" spans="1:6" x14ac:dyDescent="0.2">
      <c r="A268" s="46">
        <v>16.376108409017579</v>
      </c>
      <c r="B268" s="47">
        <f>IF([2]Datos!B267="Estructurados",1,0)</f>
        <v>1</v>
      </c>
      <c r="C268" s="48">
        <v>2</v>
      </c>
      <c r="D268" s="47">
        <v>6</v>
      </c>
      <c r="E268" s="47">
        <v>4</v>
      </c>
      <c r="F268" s="47">
        <v>14.69438628509203</v>
      </c>
    </row>
    <row r="269" spans="1:6" x14ac:dyDescent="0.2">
      <c r="A269" s="46">
        <v>15.81620565196582</v>
      </c>
      <c r="B269" s="47">
        <f>IF([2]Datos!B268="Estructurados",1,0)</f>
        <v>1</v>
      </c>
      <c r="C269" s="48">
        <v>2</v>
      </c>
      <c r="D269" s="47">
        <v>1</v>
      </c>
      <c r="E269" s="47">
        <v>3</v>
      </c>
      <c r="F269" s="47">
        <v>15.4439708080715</v>
      </c>
    </row>
    <row r="270" spans="1:6" x14ac:dyDescent="0.2">
      <c r="A270" s="46">
        <v>16.284929311019681</v>
      </c>
      <c r="B270" s="47">
        <f>IF([2]Datos!B269="Estructurados",1,0)</f>
        <v>0</v>
      </c>
      <c r="C270" s="48">
        <v>5</v>
      </c>
      <c r="D270" s="47">
        <v>17</v>
      </c>
      <c r="E270" s="47">
        <v>5</v>
      </c>
      <c r="F270" s="47">
        <v>12.949059471848781</v>
      </c>
    </row>
    <row r="271" spans="1:6" x14ac:dyDescent="0.2">
      <c r="A271" s="46">
        <v>16.779977756651508</v>
      </c>
      <c r="B271" s="47">
        <f>IF([2]Datos!B270="Estructurados",1,0)</f>
        <v>0</v>
      </c>
      <c r="C271" s="48">
        <v>5</v>
      </c>
      <c r="D271" s="47">
        <v>11</v>
      </c>
      <c r="E271" s="47">
        <v>4</v>
      </c>
      <c r="F271" s="47">
        <v>12.58318570885109</v>
      </c>
    </row>
    <row r="272" spans="1:6" x14ac:dyDescent="0.2">
      <c r="A272" s="46">
        <v>22.065370288643049</v>
      </c>
      <c r="B272" s="47">
        <f>IF([2]Datos!B271="Estructurados",1,0)</f>
        <v>1</v>
      </c>
      <c r="C272" s="48">
        <v>4</v>
      </c>
      <c r="D272" s="47">
        <v>18</v>
      </c>
      <c r="E272" s="47">
        <v>3</v>
      </c>
      <c r="F272" s="47">
        <v>18.885335667289219</v>
      </c>
    </row>
    <row r="273" spans="1:6" x14ac:dyDescent="0.2">
      <c r="A273" s="46">
        <v>13.720636644533061</v>
      </c>
      <c r="B273" s="47">
        <f>IF([2]Datos!B272="Estructurados",1,0)</f>
        <v>0</v>
      </c>
      <c r="C273" s="48">
        <v>5</v>
      </c>
      <c r="D273" s="47">
        <v>17</v>
      </c>
      <c r="E273" s="47">
        <v>3</v>
      </c>
      <c r="F273" s="47">
        <v>14.10632864884054</v>
      </c>
    </row>
    <row r="274" spans="1:6" x14ac:dyDescent="0.2">
      <c r="A274" s="46">
        <v>11.282068924410281</v>
      </c>
      <c r="B274" s="47">
        <f>IF([2]Datos!B273="Estructurados",1,0)</f>
        <v>1</v>
      </c>
      <c r="C274" s="48">
        <v>4</v>
      </c>
      <c r="D274" s="47">
        <v>7</v>
      </c>
      <c r="E274" s="47">
        <v>1</v>
      </c>
      <c r="F274" s="47">
        <v>8.8369622790465954</v>
      </c>
    </row>
    <row r="275" spans="1:6" x14ac:dyDescent="0.2">
      <c r="A275" s="46">
        <v>19.581581876077479</v>
      </c>
      <c r="B275" s="47">
        <f>IF([2]Datos!B274="Estructurados",1,0)</f>
        <v>1</v>
      </c>
      <c r="C275" s="48">
        <v>5</v>
      </c>
      <c r="D275" s="47">
        <v>17</v>
      </c>
      <c r="E275" s="47">
        <v>5</v>
      </c>
      <c r="F275" s="47">
        <v>14.95272548672196</v>
      </c>
    </row>
    <row r="276" spans="1:6" x14ac:dyDescent="0.2">
      <c r="A276" s="46">
        <v>15.00511653050979</v>
      </c>
      <c r="B276" s="47">
        <f>IF([2]Datos!B275="Estructurados",1,0)</f>
        <v>1</v>
      </c>
      <c r="C276" s="48">
        <v>5</v>
      </c>
      <c r="D276" s="47">
        <v>20</v>
      </c>
      <c r="E276" s="47">
        <v>1</v>
      </c>
      <c r="F276" s="47">
        <v>14.476589567222449</v>
      </c>
    </row>
    <row r="277" spans="1:6" x14ac:dyDescent="0.2">
      <c r="A277" s="46">
        <v>20.50924567447602</v>
      </c>
      <c r="B277" s="47">
        <f>IF([2]Datos!B276="Estructurados",1,0)</f>
        <v>0</v>
      </c>
      <c r="C277" s="48">
        <v>4</v>
      </c>
      <c r="D277" s="47">
        <v>9</v>
      </c>
      <c r="E277" s="47">
        <v>2</v>
      </c>
      <c r="F277" s="47">
        <v>9.1898445612457245</v>
      </c>
    </row>
    <row r="278" spans="1:6" x14ac:dyDescent="0.2">
      <c r="A278" s="46">
        <v>13.231051737131629</v>
      </c>
      <c r="B278" s="47">
        <f>IF([2]Datos!B277="Estructurados",1,0)</f>
        <v>0</v>
      </c>
      <c r="C278" s="48">
        <v>3</v>
      </c>
      <c r="D278" s="47">
        <v>17</v>
      </c>
      <c r="E278" s="47">
        <v>1</v>
      </c>
      <c r="F278" s="47">
        <v>15.96806572134439</v>
      </c>
    </row>
    <row r="279" spans="1:6" x14ac:dyDescent="0.2">
      <c r="A279" s="46">
        <v>17.09952984778673</v>
      </c>
      <c r="B279" s="47">
        <f>IF([2]Datos!B278="Estructurados",1,0)</f>
        <v>1</v>
      </c>
      <c r="C279" s="48">
        <v>2</v>
      </c>
      <c r="D279" s="47">
        <v>20</v>
      </c>
      <c r="E279" s="47">
        <v>1</v>
      </c>
      <c r="F279" s="47">
        <v>14.42226723893422</v>
      </c>
    </row>
    <row r="280" spans="1:6" x14ac:dyDescent="0.2">
      <c r="A280" s="46">
        <v>15.6998915614206</v>
      </c>
      <c r="B280" s="47">
        <f>IF([2]Datos!B279="Estructurados",1,0)</f>
        <v>1</v>
      </c>
      <c r="C280" s="48">
        <v>4</v>
      </c>
      <c r="D280" s="47">
        <v>8</v>
      </c>
      <c r="E280" s="47">
        <v>4</v>
      </c>
      <c r="F280" s="47">
        <v>15.146096053813441</v>
      </c>
    </row>
    <row r="281" spans="1:6" x14ac:dyDescent="0.2">
      <c r="A281" s="46">
        <v>9.0349010424950098</v>
      </c>
      <c r="B281" s="47">
        <f>IF([2]Datos!B280="Estructurados",1,0)</f>
        <v>1</v>
      </c>
      <c r="C281" s="48">
        <v>3</v>
      </c>
      <c r="D281" s="47">
        <v>17</v>
      </c>
      <c r="E281" s="47">
        <v>3</v>
      </c>
      <c r="F281" s="47">
        <v>15.07273054217332</v>
      </c>
    </row>
    <row r="282" spans="1:6" x14ac:dyDescent="0.2">
      <c r="A282" s="46">
        <v>14.80734320156912</v>
      </c>
      <c r="B282" s="47">
        <f>IF([2]Datos!B281="Estructurados",1,0)</f>
        <v>1</v>
      </c>
      <c r="C282" s="48">
        <v>3</v>
      </c>
      <c r="D282" s="47">
        <v>7</v>
      </c>
      <c r="E282" s="47">
        <v>5</v>
      </c>
      <c r="F282" s="47">
        <v>13.475575098213509</v>
      </c>
    </row>
    <row r="283" spans="1:6" x14ac:dyDescent="0.2">
      <c r="A283" s="46">
        <v>17.05675867262562</v>
      </c>
      <c r="B283" s="47">
        <f>IF([2]Datos!B282="Estructurados",1,0)</f>
        <v>1</v>
      </c>
      <c r="C283" s="48">
        <v>3</v>
      </c>
      <c r="D283" s="47">
        <v>1</v>
      </c>
      <c r="E283" s="47">
        <v>1</v>
      </c>
      <c r="F283" s="47">
        <v>12.277574427332761</v>
      </c>
    </row>
    <row r="284" spans="1:6" x14ac:dyDescent="0.2">
      <c r="A284" s="46">
        <v>18.331065337260519</v>
      </c>
      <c r="B284" s="47">
        <f>IF([2]Datos!B283="Estructurados",1,0)</f>
        <v>0</v>
      </c>
      <c r="C284" s="48">
        <v>3</v>
      </c>
      <c r="D284" s="47">
        <v>13</v>
      </c>
      <c r="E284" s="47">
        <v>5</v>
      </c>
      <c r="F284" s="47">
        <v>10.12156315858414</v>
      </c>
    </row>
    <row r="285" spans="1:6" x14ac:dyDescent="0.2">
      <c r="A285" s="46">
        <v>13.79300840807268</v>
      </c>
      <c r="B285" s="47">
        <f>IF([2]Datos!B284="Estructurados",1,0)</f>
        <v>1</v>
      </c>
      <c r="C285" s="48">
        <v>5</v>
      </c>
      <c r="D285" s="47">
        <v>19</v>
      </c>
      <c r="E285" s="47">
        <v>1</v>
      </c>
      <c r="F285" s="47">
        <v>14.963144831936759</v>
      </c>
    </row>
    <row r="286" spans="1:6" x14ac:dyDescent="0.2">
      <c r="A286" s="46">
        <v>16.38109225058658</v>
      </c>
      <c r="B286" s="47">
        <f>IF([2]Datos!B285="Estructurados",1,0)</f>
        <v>0</v>
      </c>
      <c r="C286" s="48">
        <v>5</v>
      </c>
      <c r="D286" s="47">
        <v>19</v>
      </c>
      <c r="E286" s="47">
        <v>2</v>
      </c>
      <c r="F286" s="47">
        <v>18.04273469366494</v>
      </c>
    </row>
    <row r="287" spans="1:6" x14ac:dyDescent="0.2">
      <c r="A287" s="46">
        <v>10.06651668732813</v>
      </c>
      <c r="B287" s="47">
        <f>IF([2]Datos!B286="Estructurados",1,0)</f>
        <v>1</v>
      </c>
      <c r="C287" s="48">
        <v>4</v>
      </c>
      <c r="D287" s="47">
        <v>17</v>
      </c>
      <c r="E287" s="47">
        <v>1</v>
      </c>
      <c r="F287" s="47">
        <v>7.2920266539287484</v>
      </c>
    </row>
    <row r="288" spans="1:6" x14ac:dyDescent="0.2">
      <c r="A288" s="46">
        <v>11.023956100238751</v>
      </c>
      <c r="B288" s="47">
        <f>IF([2]Datos!B287="Estructurados",1,0)</f>
        <v>0</v>
      </c>
      <c r="C288" s="48">
        <v>5</v>
      </c>
      <c r="D288" s="47">
        <v>13</v>
      </c>
      <c r="E288" s="47">
        <v>4</v>
      </c>
      <c r="F288" s="47">
        <v>12.38286670937997</v>
      </c>
    </row>
    <row r="289" spans="1:6" x14ac:dyDescent="0.2">
      <c r="A289" s="46">
        <v>20.924107452482211</v>
      </c>
      <c r="B289" s="47">
        <f>IF([2]Datos!B288="Estructurados",1,0)</f>
        <v>0</v>
      </c>
      <c r="C289" s="48">
        <v>4</v>
      </c>
      <c r="D289" s="47">
        <v>16</v>
      </c>
      <c r="E289" s="47">
        <v>3</v>
      </c>
      <c r="F289" s="47">
        <v>13.15709877568721</v>
      </c>
    </row>
    <row r="290" spans="1:6" x14ac:dyDescent="0.2">
      <c r="A290" s="46">
        <v>19.294158603242291</v>
      </c>
      <c r="B290" s="47">
        <f>IF([2]Datos!B289="Estructurados",1,0)</f>
        <v>0</v>
      </c>
      <c r="C290" s="48">
        <v>3</v>
      </c>
      <c r="D290" s="47">
        <v>8</v>
      </c>
      <c r="E290" s="47">
        <v>2</v>
      </c>
      <c r="F290" s="47">
        <v>13.69327463099668</v>
      </c>
    </row>
    <row r="291" spans="1:6" x14ac:dyDescent="0.2">
      <c r="A291" s="46">
        <v>16.14049593386752</v>
      </c>
      <c r="B291" s="47">
        <f>IF([2]Datos!B290="Estructurados",1,0)</f>
        <v>0</v>
      </c>
      <c r="C291" s="48">
        <v>5</v>
      </c>
      <c r="D291" s="47">
        <v>19</v>
      </c>
      <c r="E291" s="47">
        <v>1</v>
      </c>
      <c r="F291" s="47">
        <v>16.519262814544849</v>
      </c>
    </row>
    <row r="292" spans="1:6" x14ac:dyDescent="0.2">
      <c r="A292" s="46">
        <v>10.6886502400897</v>
      </c>
      <c r="B292" s="47">
        <f>IF([2]Datos!B291="Estructurados",1,0)</f>
        <v>0</v>
      </c>
      <c r="C292" s="48">
        <v>5</v>
      </c>
      <c r="D292" s="47">
        <v>18</v>
      </c>
      <c r="E292" s="47">
        <v>5</v>
      </c>
      <c r="F292" s="47">
        <v>16.679256566181731</v>
      </c>
    </row>
    <row r="293" spans="1:6" x14ac:dyDescent="0.2">
      <c r="A293" s="46">
        <v>11.895938874821359</v>
      </c>
      <c r="B293" s="47">
        <f>IF([2]Datos!B292="Estructurados",1,0)</f>
        <v>0</v>
      </c>
      <c r="C293" s="48">
        <v>3</v>
      </c>
      <c r="D293" s="47">
        <v>1</v>
      </c>
      <c r="E293" s="47">
        <v>2</v>
      </c>
      <c r="F293" s="47">
        <v>13.451956657493749</v>
      </c>
    </row>
    <row r="294" spans="1:6" x14ac:dyDescent="0.2">
      <c r="A294" s="46">
        <v>16.753499532670581</v>
      </c>
      <c r="B294" s="47">
        <f>IF([2]Datos!B293="Estructurados",1,0)</f>
        <v>1</v>
      </c>
      <c r="C294" s="48">
        <v>4</v>
      </c>
      <c r="D294" s="47">
        <v>14</v>
      </c>
      <c r="E294" s="47">
        <v>2</v>
      </c>
      <c r="F294" s="47">
        <v>18.587890424085479</v>
      </c>
    </row>
    <row r="295" spans="1:6" x14ac:dyDescent="0.2">
      <c r="A295" s="46">
        <v>20.70531762152789</v>
      </c>
      <c r="B295" s="47">
        <f>IF([2]Datos!B294="Estructurados",1,0)</f>
        <v>0</v>
      </c>
      <c r="C295" s="48">
        <v>3</v>
      </c>
      <c r="D295" s="47">
        <v>19</v>
      </c>
      <c r="E295" s="47">
        <v>1</v>
      </c>
      <c r="F295" s="47">
        <v>15.587223724541071</v>
      </c>
    </row>
    <row r="296" spans="1:6" x14ac:dyDescent="0.2">
      <c r="A296" s="46">
        <v>12.42480104851051</v>
      </c>
      <c r="B296" s="47">
        <f>IF([2]Datos!B295="Estructurados",1,0)</f>
        <v>1</v>
      </c>
      <c r="C296" s="48">
        <v>3</v>
      </c>
      <c r="D296" s="47">
        <v>15</v>
      </c>
      <c r="E296" s="47">
        <v>2</v>
      </c>
      <c r="F296" s="47">
        <v>11.26375835302739</v>
      </c>
    </row>
    <row r="297" spans="1:6" x14ac:dyDescent="0.2">
      <c r="A297" s="46">
        <v>20.178507742982529</v>
      </c>
      <c r="B297" s="47">
        <f>IF([2]Datos!B296="Estructurados",1,0)</f>
        <v>0</v>
      </c>
      <c r="C297" s="48">
        <v>5</v>
      </c>
      <c r="D297" s="47">
        <v>18</v>
      </c>
      <c r="E297" s="47">
        <v>5</v>
      </c>
      <c r="F297" s="47">
        <v>16.728695129807871</v>
      </c>
    </row>
    <row r="298" spans="1:6" x14ac:dyDescent="0.2">
      <c r="A298" s="46">
        <v>10.653545202369671</v>
      </c>
      <c r="B298" s="47">
        <f>IF([2]Datos!B297="Estructurados",1,0)</f>
        <v>0</v>
      </c>
      <c r="C298" s="48">
        <v>5</v>
      </c>
      <c r="D298" s="47">
        <v>2</v>
      </c>
      <c r="E298" s="47">
        <v>2</v>
      </c>
      <c r="F298" s="47">
        <v>11.16648624823911</v>
      </c>
    </row>
    <row r="299" spans="1:6" x14ac:dyDescent="0.2">
      <c r="A299" s="46">
        <v>22.44979993771663</v>
      </c>
      <c r="B299" s="47">
        <f>IF([2]Datos!B298="Estructurados",1,0)</f>
        <v>1</v>
      </c>
      <c r="C299" s="48">
        <v>3</v>
      </c>
      <c r="D299" s="47">
        <v>17</v>
      </c>
      <c r="E299" s="47">
        <v>5</v>
      </c>
      <c r="F299" s="47">
        <v>15.160143663267281</v>
      </c>
    </row>
    <row r="300" spans="1:6" x14ac:dyDescent="0.2">
      <c r="A300" s="46">
        <v>16.153649760438309</v>
      </c>
      <c r="B300" s="47">
        <f>IF([2]Datos!B299="Estructurados",1,0)</f>
        <v>0</v>
      </c>
      <c r="C300" s="48">
        <v>5</v>
      </c>
      <c r="D300" s="47">
        <v>18</v>
      </c>
      <c r="E300" s="47">
        <v>1</v>
      </c>
      <c r="F300" s="47">
        <v>17.474562880150891</v>
      </c>
    </row>
    <row r="301" spans="1:6" x14ac:dyDescent="0.2">
      <c r="A301" s="46">
        <v>10.40643105941948</v>
      </c>
      <c r="B301" s="47">
        <f>IF([2]Datos!B300="Estructurados",1,0)</f>
        <v>1</v>
      </c>
      <c r="C301" s="48">
        <v>3</v>
      </c>
      <c r="D301" s="47">
        <v>6</v>
      </c>
      <c r="E301" s="47">
        <v>3</v>
      </c>
      <c r="F301" s="47">
        <v>14.49154026034563</v>
      </c>
    </row>
    <row r="302" spans="1:6" x14ac:dyDescent="0.2">
      <c r="A302" s="46">
        <v>20.31481442096181</v>
      </c>
      <c r="B302" s="47">
        <f>IF([2]Datos!B301="Estructurados",1,0)</f>
        <v>1</v>
      </c>
      <c r="C302" s="48">
        <v>4</v>
      </c>
      <c r="D302" s="47">
        <v>19</v>
      </c>
      <c r="E302" s="47">
        <v>2</v>
      </c>
      <c r="F302" s="47">
        <v>15.75415058341151</v>
      </c>
    </row>
    <row r="303" spans="1:6" x14ac:dyDescent="0.2">
      <c r="A303" s="46">
        <v>16.585502494538961</v>
      </c>
      <c r="B303" s="47">
        <f>IF([2]Datos!B302="Estructurados",1,0)</f>
        <v>1</v>
      </c>
      <c r="C303" s="48">
        <v>3</v>
      </c>
      <c r="D303" s="47">
        <v>4</v>
      </c>
      <c r="E303" s="47">
        <v>3</v>
      </c>
      <c r="F303" s="47">
        <v>11.15691405960847</v>
      </c>
    </row>
    <row r="304" spans="1:6" x14ac:dyDescent="0.2">
      <c r="A304" s="46">
        <v>12.719909479901521</v>
      </c>
      <c r="B304" s="47">
        <f>IF([2]Datos!B303="Estructurados",1,0)</f>
        <v>1</v>
      </c>
      <c r="C304" s="48">
        <v>3</v>
      </c>
      <c r="D304" s="47">
        <v>1</v>
      </c>
      <c r="E304" s="47">
        <v>5</v>
      </c>
      <c r="F304" s="47">
        <v>11.161503755304119</v>
      </c>
    </row>
    <row r="305" spans="1:6" x14ac:dyDescent="0.2">
      <c r="A305" s="46">
        <v>15.37364680256163</v>
      </c>
      <c r="B305" s="47">
        <f>IF([2]Datos!B304="Estructurados",1,0)</f>
        <v>0</v>
      </c>
      <c r="C305" s="48">
        <v>4</v>
      </c>
      <c r="D305" s="47">
        <v>8</v>
      </c>
      <c r="E305" s="47">
        <v>2</v>
      </c>
      <c r="F305" s="47">
        <v>12.39247495112037</v>
      </c>
    </row>
    <row r="306" spans="1:6" x14ac:dyDescent="0.2">
      <c r="A306" s="46">
        <v>19.30518513271673</v>
      </c>
      <c r="B306" s="47">
        <f>IF([2]Datos!B305="Estructurados",1,0)</f>
        <v>0</v>
      </c>
      <c r="C306" s="48">
        <v>3</v>
      </c>
      <c r="D306" s="47">
        <v>7</v>
      </c>
      <c r="E306" s="47">
        <v>4</v>
      </c>
      <c r="F306" s="47">
        <v>13.24057058571961</v>
      </c>
    </row>
    <row r="307" spans="1:6" x14ac:dyDescent="0.2">
      <c r="A307" s="46">
        <v>16.98954920301793</v>
      </c>
      <c r="B307" s="47">
        <f>IF([2]Datos!B306="Estructurados",1,0)</f>
        <v>1</v>
      </c>
      <c r="C307" s="48">
        <v>4</v>
      </c>
      <c r="D307" s="47">
        <v>3</v>
      </c>
      <c r="E307" s="47">
        <v>3</v>
      </c>
      <c r="F307" s="47">
        <v>13.88661646673977</v>
      </c>
    </row>
    <row r="308" spans="1:6" x14ac:dyDescent="0.2">
      <c r="A308" s="46">
        <v>21.058663691654392</v>
      </c>
      <c r="B308" s="47">
        <f>IF([2]Datos!B307="Estructurados",1,0)</f>
        <v>0</v>
      </c>
      <c r="C308" s="48">
        <v>4</v>
      </c>
      <c r="D308" s="47">
        <v>10</v>
      </c>
      <c r="E308" s="47">
        <v>2</v>
      </c>
      <c r="F308" s="47">
        <v>14.46676739518535</v>
      </c>
    </row>
    <row r="309" spans="1:6" x14ac:dyDescent="0.2">
      <c r="A309" s="46">
        <v>13.63883244789421</v>
      </c>
      <c r="B309" s="47">
        <f>IF([2]Datos!B308="Estructurados",1,0)</f>
        <v>0</v>
      </c>
      <c r="C309" s="48">
        <v>4</v>
      </c>
      <c r="D309" s="47">
        <v>10</v>
      </c>
      <c r="E309" s="47">
        <v>3</v>
      </c>
      <c r="F309" s="47">
        <v>13.1674539797813</v>
      </c>
    </row>
    <row r="310" spans="1:6" x14ac:dyDescent="0.2">
      <c r="A310" s="46">
        <v>15.704214305582081</v>
      </c>
      <c r="B310" s="47">
        <f>IF([2]Datos!B309="Estructurados",1,0)</f>
        <v>1</v>
      </c>
      <c r="C310" s="48">
        <v>3</v>
      </c>
      <c r="D310" s="47">
        <v>19</v>
      </c>
      <c r="E310" s="47">
        <v>2</v>
      </c>
      <c r="F310" s="47">
        <v>16.856043716951859</v>
      </c>
    </row>
    <row r="311" spans="1:6" x14ac:dyDescent="0.2">
      <c r="A311" s="46">
        <v>15.27354869058502</v>
      </c>
      <c r="B311" s="47">
        <f>IF([2]Datos!B310="Estructurados",1,0)</f>
        <v>0</v>
      </c>
      <c r="C311" s="48">
        <v>3</v>
      </c>
      <c r="D311" s="47">
        <v>14</v>
      </c>
      <c r="E311" s="47">
        <v>1</v>
      </c>
      <c r="F311" s="47">
        <v>13.31682280797399</v>
      </c>
    </row>
    <row r="312" spans="1:6" x14ac:dyDescent="0.2">
      <c r="A312" s="46">
        <v>11.89890367378305</v>
      </c>
      <c r="B312" s="47">
        <f>IF([2]Datos!B311="Estructurados",1,0)</f>
        <v>1</v>
      </c>
      <c r="C312" s="48">
        <v>5</v>
      </c>
      <c r="D312" s="47">
        <v>2</v>
      </c>
      <c r="E312" s="47">
        <v>3</v>
      </c>
      <c r="F312" s="47">
        <v>11.012378368812071</v>
      </c>
    </row>
    <row r="313" spans="1:6" x14ac:dyDescent="0.2">
      <c r="A313" s="46">
        <v>3.8911593983863901</v>
      </c>
      <c r="B313" s="47">
        <f>IF([2]Datos!B312="Estructurados",1,0)</f>
        <v>1</v>
      </c>
      <c r="C313" s="48">
        <v>5</v>
      </c>
      <c r="D313" s="47">
        <v>1</v>
      </c>
      <c r="E313" s="47">
        <v>4</v>
      </c>
      <c r="F313" s="47">
        <v>10.01700108016588</v>
      </c>
    </row>
    <row r="314" spans="1:6" x14ac:dyDescent="0.2">
      <c r="A314" s="46">
        <v>19.549388425993591</v>
      </c>
      <c r="B314" s="47">
        <f>IF([2]Datos!B313="Estructurados",1,0)</f>
        <v>0</v>
      </c>
      <c r="C314" s="48">
        <v>3</v>
      </c>
      <c r="D314" s="47">
        <v>18</v>
      </c>
      <c r="E314" s="47">
        <v>4</v>
      </c>
      <c r="F314" s="47">
        <v>18.738651022415819</v>
      </c>
    </row>
    <row r="315" spans="1:6" x14ac:dyDescent="0.2">
      <c r="A315" s="46">
        <v>10.412708174494011</v>
      </c>
      <c r="B315" s="47">
        <f>IF([2]Datos!B314="Estructurados",1,0)</f>
        <v>0</v>
      </c>
      <c r="C315" s="48">
        <v>4</v>
      </c>
      <c r="D315" s="47">
        <v>7</v>
      </c>
      <c r="E315" s="47">
        <v>5</v>
      </c>
      <c r="F315" s="47">
        <v>12.668379203789041</v>
      </c>
    </row>
    <row r="316" spans="1:6" x14ac:dyDescent="0.2">
      <c r="A316" s="46">
        <v>18.406754818000319</v>
      </c>
      <c r="B316" s="47">
        <f>IF([2]Datos!B315="Estructurados",1,0)</f>
        <v>0</v>
      </c>
      <c r="C316" s="48">
        <v>5</v>
      </c>
      <c r="D316" s="47">
        <v>8</v>
      </c>
      <c r="E316" s="47">
        <v>2</v>
      </c>
      <c r="F316" s="47">
        <v>14.898181097920149</v>
      </c>
    </row>
    <row r="317" spans="1:6" x14ac:dyDescent="0.2">
      <c r="A317" s="46">
        <v>16.652739403577161</v>
      </c>
      <c r="B317" s="47">
        <f>IF([2]Datos!B316="Estructurados",1,0)</f>
        <v>1</v>
      </c>
      <c r="C317" s="48">
        <v>2</v>
      </c>
      <c r="D317" s="47">
        <v>1</v>
      </c>
      <c r="E317" s="47">
        <v>3</v>
      </c>
      <c r="F317" s="47">
        <v>10.51273376444491</v>
      </c>
    </row>
    <row r="318" spans="1:6" x14ac:dyDescent="0.2">
      <c r="A318" s="46">
        <v>7.0105019208163792</v>
      </c>
      <c r="B318" s="47">
        <f>IF([2]Datos!B317="Estructurados",1,0)</f>
        <v>1</v>
      </c>
      <c r="C318" s="48">
        <v>5</v>
      </c>
      <c r="D318" s="47">
        <v>3</v>
      </c>
      <c r="E318" s="47">
        <v>5</v>
      </c>
      <c r="F318" s="47">
        <v>11.280425724683971</v>
      </c>
    </row>
    <row r="319" spans="1:6" x14ac:dyDescent="0.2">
      <c r="A319" s="46">
        <v>15.340976485647481</v>
      </c>
      <c r="B319" s="47">
        <f>IF([2]Datos!B318="Estructurados",1,0)</f>
        <v>0</v>
      </c>
      <c r="C319" s="48">
        <v>3</v>
      </c>
      <c r="D319" s="47">
        <v>8</v>
      </c>
      <c r="E319" s="47">
        <v>3</v>
      </c>
      <c r="F319" s="47">
        <v>16.70296377278223</v>
      </c>
    </row>
    <row r="320" spans="1:6" x14ac:dyDescent="0.2">
      <c r="A320" s="46">
        <v>14.84486662170327</v>
      </c>
      <c r="B320" s="47">
        <f>IF([2]Datos!B319="Estructurados",1,0)</f>
        <v>0</v>
      </c>
      <c r="C320" s="48">
        <v>5</v>
      </c>
      <c r="D320" s="47">
        <v>15</v>
      </c>
      <c r="E320" s="47">
        <v>2</v>
      </c>
      <c r="F320" s="47">
        <v>14.933722650572021</v>
      </c>
    </row>
    <row r="321" spans="1:6" x14ac:dyDescent="0.2">
      <c r="A321" s="46">
        <v>19.16208317624422</v>
      </c>
      <c r="B321" s="47">
        <f>IF([2]Datos!B320="Estructurados",1,0)</f>
        <v>0</v>
      </c>
      <c r="C321" s="48">
        <v>3</v>
      </c>
      <c r="D321" s="47">
        <v>5</v>
      </c>
      <c r="E321" s="47">
        <v>4</v>
      </c>
      <c r="F321" s="47">
        <v>11.5686776944464</v>
      </c>
    </row>
    <row r="322" spans="1:6" x14ac:dyDescent="0.2">
      <c r="A322" s="46">
        <v>13.934928472816161</v>
      </c>
      <c r="B322" s="47">
        <f>IF([2]Datos!B321="Estructurados",1,0)</f>
        <v>0</v>
      </c>
      <c r="C322" s="48">
        <v>2</v>
      </c>
      <c r="D322" s="47">
        <v>3</v>
      </c>
      <c r="E322" s="47">
        <v>1</v>
      </c>
      <c r="F322" s="47">
        <v>11.935721789272449</v>
      </c>
    </row>
    <row r="323" spans="1:6" x14ac:dyDescent="0.2">
      <c r="A323" s="46">
        <v>19.048497982496361</v>
      </c>
      <c r="B323" s="47">
        <f>IF([2]Datos!B322="Estructurados",1,0)</f>
        <v>1</v>
      </c>
      <c r="C323" s="48">
        <v>2</v>
      </c>
      <c r="D323" s="47">
        <v>19</v>
      </c>
      <c r="E323" s="47">
        <v>4</v>
      </c>
      <c r="F323" s="47">
        <v>18.852906084073641</v>
      </c>
    </row>
    <row r="324" spans="1:6" x14ac:dyDescent="0.2">
      <c r="A324" s="46">
        <v>14.297578512718459</v>
      </c>
      <c r="B324" s="47">
        <f>IF([2]Datos!B323="Estructurados",1,0)</f>
        <v>0</v>
      </c>
      <c r="C324" s="48">
        <v>4</v>
      </c>
      <c r="D324" s="47">
        <v>1</v>
      </c>
      <c r="E324" s="47">
        <v>5</v>
      </c>
      <c r="F324" s="47">
        <v>8.8093833328945621</v>
      </c>
    </row>
    <row r="325" spans="1:6" x14ac:dyDescent="0.2">
      <c r="A325" s="46">
        <v>9.5908896583832632</v>
      </c>
      <c r="B325" s="47">
        <f>IF([2]Datos!B324="Estructurados",1,0)</f>
        <v>1</v>
      </c>
      <c r="C325" s="48">
        <v>4</v>
      </c>
      <c r="D325" s="47">
        <v>15</v>
      </c>
      <c r="E325" s="47">
        <v>1</v>
      </c>
      <c r="F325" s="47">
        <v>7.9605922127176107</v>
      </c>
    </row>
    <row r="326" spans="1:6" x14ac:dyDescent="0.2">
      <c r="A326" s="46">
        <v>17.04619363784273</v>
      </c>
      <c r="B326" s="47">
        <f>IF([2]Datos!B325="Estructurados",1,0)</f>
        <v>1</v>
      </c>
      <c r="C326" s="48">
        <v>3</v>
      </c>
      <c r="D326" s="47">
        <v>8</v>
      </c>
      <c r="E326" s="47">
        <v>5</v>
      </c>
      <c r="F326" s="47">
        <v>14.130040194724501</v>
      </c>
    </row>
    <row r="327" spans="1:6" x14ac:dyDescent="0.2">
      <c r="A327" s="46">
        <v>16.496991309250149</v>
      </c>
      <c r="B327" s="47">
        <f>IF([2]Datos!B326="Estructurados",1,0)</f>
        <v>0</v>
      </c>
      <c r="C327" s="48">
        <v>5</v>
      </c>
      <c r="D327" s="47">
        <v>2</v>
      </c>
      <c r="E327" s="47">
        <v>2</v>
      </c>
      <c r="F327" s="47">
        <v>9.8675247867703</v>
      </c>
    </row>
    <row r="328" spans="1:6" x14ac:dyDescent="0.2">
      <c r="A328" s="46">
        <v>15.39290569360613</v>
      </c>
      <c r="B328" s="47">
        <f>IF([2]Datos!B327="Estructurados",1,0)</f>
        <v>0</v>
      </c>
      <c r="C328" s="48">
        <v>2</v>
      </c>
      <c r="D328" s="47">
        <v>3</v>
      </c>
      <c r="E328" s="47">
        <v>1</v>
      </c>
      <c r="F328" s="47">
        <v>12.535489086078121</v>
      </c>
    </row>
    <row r="329" spans="1:6" x14ac:dyDescent="0.2">
      <c r="A329" s="46">
        <v>14.57905543675003</v>
      </c>
      <c r="B329" s="47">
        <f>IF([2]Datos!B328="Estructurados",1,0)</f>
        <v>0</v>
      </c>
      <c r="C329" s="48">
        <v>4</v>
      </c>
      <c r="D329" s="47">
        <v>14</v>
      </c>
      <c r="E329" s="47">
        <v>5</v>
      </c>
      <c r="F329" s="47">
        <v>10.534392134404969</v>
      </c>
    </row>
    <row r="330" spans="1:6" x14ac:dyDescent="0.2">
      <c r="A330" s="46">
        <v>13.39583134698147</v>
      </c>
      <c r="B330" s="47">
        <f>IF([2]Datos!B329="Estructurados",1,0)</f>
        <v>1</v>
      </c>
      <c r="C330" s="48">
        <v>3</v>
      </c>
      <c r="D330" s="47">
        <v>14</v>
      </c>
      <c r="E330" s="47">
        <v>2</v>
      </c>
      <c r="F330" s="47">
        <v>15.45505985009347</v>
      </c>
    </row>
    <row r="331" spans="1:6" x14ac:dyDescent="0.2">
      <c r="A331" s="46">
        <v>6.3120599085260771</v>
      </c>
      <c r="B331" s="47">
        <f>IF([2]Datos!B330="Estructurados",1,0)</f>
        <v>0</v>
      </c>
      <c r="C331" s="48">
        <v>3</v>
      </c>
      <c r="D331" s="47">
        <v>11</v>
      </c>
      <c r="E331" s="47">
        <v>4</v>
      </c>
      <c r="F331" s="47">
        <v>9.7356556355500476</v>
      </c>
    </row>
    <row r="332" spans="1:6" x14ac:dyDescent="0.2">
      <c r="A332" s="46">
        <v>15.314172754632139</v>
      </c>
      <c r="B332" s="47">
        <f>IF([2]Datos!B331="Estructurados",1,0)</f>
        <v>0</v>
      </c>
      <c r="C332" s="48">
        <v>4</v>
      </c>
      <c r="D332" s="47">
        <v>16</v>
      </c>
      <c r="E332" s="47">
        <v>2</v>
      </c>
      <c r="F332" s="47">
        <v>16.244567283921679</v>
      </c>
    </row>
    <row r="333" spans="1:6" x14ac:dyDescent="0.2">
      <c r="A333" s="46">
        <v>14.993876613576539</v>
      </c>
      <c r="B333" s="47">
        <f>IF([2]Datos!B332="Estructurados",1,0)</f>
        <v>1</v>
      </c>
      <c r="C333" s="48">
        <v>3</v>
      </c>
      <c r="D333" s="47">
        <v>4</v>
      </c>
      <c r="E333" s="47">
        <v>3</v>
      </c>
      <c r="F333" s="47">
        <v>12.144844579077381</v>
      </c>
    </row>
    <row r="334" spans="1:6" x14ac:dyDescent="0.2">
      <c r="A334" s="46">
        <v>10.55137281425708</v>
      </c>
      <c r="B334" s="47">
        <f>IF([2]Datos!B333="Estructurados",1,0)</f>
        <v>0</v>
      </c>
      <c r="C334" s="48">
        <v>4</v>
      </c>
      <c r="D334" s="47">
        <v>20</v>
      </c>
      <c r="E334" s="47">
        <v>2</v>
      </c>
      <c r="F334" s="47">
        <v>13.15166643970818</v>
      </c>
    </row>
    <row r="335" spans="1:6" x14ac:dyDescent="0.2">
      <c r="A335" s="46">
        <v>14.03790227909686</v>
      </c>
      <c r="B335" s="47">
        <f>IF([2]Datos!B334="Estructurados",1,0)</f>
        <v>1</v>
      </c>
      <c r="C335" s="48">
        <v>5</v>
      </c>
      <c r="D335" s="47">
        <v>5</v>
      </c>
      <c r="E335" s="47">
        <v>2</v>
      </c>
      <c r="F335" s="47">
        <v>11.153189732257831</v>
      </c>
    </row>
    <row r="336" spans="1:6" x14ac:dyDescent="0.2">
      <c r="A336" s="46">
        <v>16.66141914424394</v>
      </c>
      <c r="B336" s="47">
        <f>IF([2]Datos!B335="Estructurados",1,0)</f>
        <v>0</v>
      </c>
      <c r="C336" s="48">
        <v>3</v>
      </c>
      <c r="D336" s="47">
        <v>14</v>
      </c>
      <c r="E336" s="47">
        <v>3</v>
      </c>
      <c r="F336" s="47">
        <v>12.387792251782811</v>
      </c>
    </row>
    <row r="337" spans="1:6" x14ac:dyDescent="0.2">
      <c r="A337" s="46">
        <v>13.48755986670888</v>
      </c>
      <c r="B337" s="47">
        <f>IF([2]Datos!B336="Estructurados",1,0)</f>
        <v>1</v>
      </c>
      <c r="C337" s="48">
        <v>5</v>
      </c>
      <c r="D337" s="47">
        <v>16</v>
      </c>
      <c r="E337" s="47">
        <v>5</v>
      </c>
      <c r="F337" s="47">
        <v>21.001107601809551</v>
      </c>
    </row>
    <row r="338" spans="1:6" x14ac:dyDescent="0.2">
      <c r="A338" s="46">
        <v>14.92647130924893</v>
      </c>
      <c r="B338" s="47">
        <f>IF([2]Datos!B337="Estructurados",1,0)</f>
        <v>0</v>
      </c>
      <c r="C338" s="48">
        <v>3</v>
      </c>
      <c r="D338" s="47">
        <v>18</v>
      </c>
      <c r="E338" s="47">
        <v>5</v>
      </c>
      <c r="F338" s="47">
        <v>15.191152792670829</v>
      </c>
    </row>
    <row r="339" spans="1:6" x14ac:dyDescent="0.2">
      <c r="A339" s="46">
        <v>16.587251401603741</v>
      </c>
      <c r="B339" s="47">
        <f>IF([2]Datos!B338="Estructurados",1,0)</f>
        <v>0</v>
      </c>
      <c r="C339" s="48">
        <v>5</v>
      </c>
      <c r="D339" s="47">
        <v>7</v>
      </c>
      <c r="E339" s="47">
        <v>2</v>
      </c>
      <c r="F339" s="47">
        <v>15.338024620183811</v>
      </c>
    </row>
    <row r="340" spans="1:6" x14ac:dyDescent="0.2">
      <c r="A340" s="46">
        <v>7.8393070791735031</v>
      </c>
      <c r="B340" s="47">
        <f>IF([2]Datos!B339="Estructurados",1,0)</f>
        <v>1</v>
      </c>
      <c r="C340" s="48">
        <v>5</v>
      </c>
      <c r="D340" s="47">
        <v>10</v>
      </c>
      <c r="E340" s="47">
        <v>3</v>
      </c>
      <c r="F340" s="47">
        <v>8.7538113236033688</v>
      </c>
    </row>
    <row r="341" spans="1:6" x14ac:dyDescent="0.2">
      <c r="A341" s="46">
        <v>23.206465727137811</v>
      </c>
      <c r="B341" s="47">
        <f>IF([2]Datos!B340="Estructurados",1,0)</f>
        <v>1</v>
      </c>
      <c r="C341" s="48">
        <v>2</v>
      </c>
      <c r="D341" s="47">
        <v>7</v>
      </c>
      <c r="E341" s="47">
        <v>3</v>
      </c>
      <c r="F341" s="47">
        <v>18.296160588856701</v>
      </c>
    </row>
    <row r="342" spans="1:6" x14ac:dyDescent="0.2">
      <c r="A342" s="46">
        <v>13.71813772359801</v>
      </c>
      <c r="B342" s="47">
        <f>IF([2]Datos!B341="Estructurados",1,0)</f>
        <v>0</v>
      </c>
      <c r="C342" s="48">
        <v>3</v>
      </c>
      <c r="D342" s="47">
        <v>1</v>
      </c>
      <c r="E342" s="47">
        <v>4</v>
      </c>
      <c r="F342" s="47">
        <v>14.007239455342191</v>
      </c>
    </row>
    <row r="343" spans="1:6" x14ac:dyDescent="0.2">
      <c r="A343" s="46">
        <v>13.58888980221678</v>
      </c>
      <c r="B343" s="47">
        <f>IF([2]Datos!B342="Estructurados",1,0)</f>
        <v>1</v>
      </c>
      <c r="C343" s="48">
        <v>5</v>
      </c>
      <c r="D343" s="47">
        <v>19</v>
      </c>
      <c r="E343" s="47">
        <v>5</v>
      </c>
      <c r="F343" s="47">
        <v>13.650945595322449</v>
      </c>
    </row>
    <row r="344" spans="1:6" x14ac:dyDescent="0.2">
      <c r="A344" s="46">
        <v>23.121843605745951</v>
      </c>
      <c r="B344" s="47">
        <f>IF([2]Datos!B343="Estructurados",1,0)</f>
        <v>1</v>
      </c>
      <c r="C344" s="48">
        <v>4</v>
      </c>
      <c r="D344" s="47">
        <v>16</v>
      </c>
      <c r="E344" s="47">
        <v>1</v>
      </c>
      <c r="F344" s="47">
        <v>14.07678432418601</v>
      </c>
    </row>
    <row r="345" spans="1:6" x14ac:dyDescent="0.2">
      <c r="A345" s="46">
        <v>11.12248328555436</v>
      </c>
      <c r="B345" s="47">
        <f>IF([2]Datos!B344="Estructurados",1,0)</f>
        <v>1</v>
      </c>
      <c r="C345" s="48">
        <v>4</v>
      </c>
      <c r="D345" s="47">
        <v>19</v>
      </c>
      <c r="E345" s="47">
        <v>5</v>
      </c>
      <c r="F345" s="47">
        <v>13.50432223907803</v>
      </c>
    </row>
    <row r="346" spans="1:6" x14ac:dyDescent="0.2">
      <c r="A346" s="46">
        <v>8.7465284123144347</v>
      </c>
      <c r="B346" s="47">
        <f>IF([2]Datos!B345="Estructurados",1,0)</f>
        <v>1</v>
      </c>
      <c r="C346" s="48">
        <v>3</v>
      </c>
      <c r="D346" s="47">
        <v>4</v>
      </c>
      <c r="E346" s="47">
        <v>5</v>
      </c>
      <c r="F346" s="47">
        <v>10.510039980214779</v>
      </c>
    </row>
    <row r="347" spans="1:6" x14ac:dyDescent="0.2">
      <c r="A347" s="46">
        <v>8.7644808471908391</v>
      </c>
      <c r="B347" s="47">
        <f>IF([2]Datos!B346="Estructurados",1,0)</f>
        <v>0</v>
      </c>
      <c r="C347" s="48">
        <v>4</v>
      </c>
      <c r="D347" s="47">
        <v>18</v>
      </c>
      <c r="E347" s="47">
        <v>4</v>
      </c>
      <c r="F347" s="47">
        <v>19.867427018916981</v>
      </c>
    </row>
    <row r="348" spans="1:6" x14ac:dyDescent="0.2">
      <c r="A348" s="46">
        <v>8.1160249686788184</v>
      </c>
      <c r="B348" s="47">
        <f>IF([2]Datos!B347="Estructurados",1,0)</f>
        <v>0</v>
      </c>
      <c r="C348" s="48">
        <v>4</v>
      </c>
      <c r="D348" s="47">
        <v>2</v>
      </c>
      <c r="E348" s="47">
        <v>1</v>
      </c>
      <c r="F348" s="47">
        <v>8.5354716071805239</v>
      </c>
    </row>
    <row r="349" spans="1:6" x14ac:dyDescent="0.2">
      <c r="A349" s="46">
        <v>19.27595782925134</v>
      </c>
      <c r="B349" s="47">
        <f>IF([2]Datos!B348="Estructurados",1,0)</f>
        <v>1</v>
      </c>
      <c r="C349" s="48">
        <v>5</v>
      </c>
      <c r="D349" s="47">
        <v>1</v>
      </c>
      <c r="E349" s="47">
        <v>4</v>
      </c>
      <c r="F349" s="47">
        <v>14.34295868179376</v>
      </c>
    </row>
    <row r="350" spans="1:6" x14ac:dyDescent="0.2">
      <c r="A350" s="46">
        <v>18.29626811281172</v>
      </c>
      <c r="B350" s="47">
        <f>IF([2]Datos!B349="Estructurados",1,0)</f>
        <v>1</v>
      </c>
      <c r="C350" s="48">
        <v>4</v>
      </c>
      <c r="D350" s="47">
        <v>15</v>
      </c>
      <c r="E350" s="47">
        <v>1</v>
      </c>
      <c r="F350" s="47">
        <v>18.925294673416069</v>
      </c>
    </row>
    <row r="351" spans="1:6" x14ac:dyDescent="0.2">
      <c r="A351" s="46">
        <v>15.64077788937378</v>
      </c>
      <c r="B351" s="47">
        <f>IF([2]Datos!B350="Estructurados",1,0)</f>
        <v>1</v>
      </c>
      <c r="C351" s="48">
        <v>4</v>
      </c>
      <c r="D351" s="47">
        <v>5</v>
      </c>
      <c r="E351" s="47">
        <v>2</v>
      </c>
      <c r="F351" s="47">
        <v>9.7811408679701373</v>
      </c>
    </row>
    <row r="352" spans="1:6" x14ac:dyDescent="0.2">
      <c r="A352" s="46">
        <v>11.89327642414408</v>
      </c>
      <c r="B352" s="47">
        <f>IF([2]Datos!B351="Estructurados",1,0)</f>
        <v>1</v>
      </c>
      <c r="C352" s="48">
        <v>4</v>
      </c>
      <c r="D352" s="47">
        <v>20</v>
      </c>
      <c r="E352" s="47">
        <v>1</v>
      </c>
      <c r="F352" s="47">
        <v>13.00948781512604</v>
      </c>
    </row>
    <row r="353" spans="1:6" x14ac:dyDescent="0.2">
      <c r="A353" s="46">
        <v>13.155453782799</v>
      </c>
      <c r="B353" s="47">
        <f>IF([2]Datos!B352="Estructurados",1,0)</f>
        <v>0</v>
      </c>
      <c r="C353" s="48">
        <v>4</v>
      </c>
      <c r="D353" s="47">
        <v>11</v>
      </c>
      <c r="E353" s="47">
        <v>4</v>
      </c>
      <c r="F353" s="47">
        <v>11.98077139851887</v>
      </c>
    </row>
    <row r="354" spans="1:6" x14ac:dyDescent="0.2">
      <c r="A354" s="46">
        <v>13.73767810847478</v>
      </c>
      <c r="B354" s="47">
        <f>IF([2]Datos!B353="Estructurados",1,0)</f>
        <v>0</v>
      </c>
      <c r="C354" s="48">
        <v>4</v>
      </c>
      <c r="D354" s="47">
        <v>10</v>
      </c>
      <c r="E354" s="47">
        <v>5</v>
      </c>
      <c r="F354" s="47">
        <v>12.238474662360071</v>
      </c>
    </row>
    <row r="355" spans="1:6" x14ac:dyDescent="0.2">
      <c r="A355" s="46">
        <v>20.428829811601009</v>
      </c>
      <c r="B355" s="47">
        <f>IF([2]Datos!B354="Estructurados",1,0)</f>
        <v>1</v>
      </c>
      <c r="C355" s="48">
        <v>4</v>
      </c>
      <c r="D355" s="47">
        <v>2</v>
      </c>
      <c r="E355" s="47">
        <v>1</v>
      </c>
      <c r="F355" s="47">
        <v>11.56935880512207</v>
      </c>
    </row>
    <row r="356" spans="1:6" x14ac:dyDescent="0.2">
      <c r="A356" s="46">
        <v>17.92003073501829</v>
      </c>
      <c r="B356" s="47">
        <f>IF([2]Datos!B355="Estructurados",1,0)</f>
        <v>1</v>
      </c>
      <c r="C356" s="48">
        <v>4</v>
      </c>
      <c r="D356" s="47">
        <v>3</v>
      </c>
      <c r="E356" s="47">
        <v>1</v>
      </c>
      <c r="F356" s="47">
        <v>11.207856543549889</v>
      </c>
    </row>
    <row r="357" spans="1:6" x14ac:dyDescent="0.2">
      <c r="A357" s="46">
        <v>14.99049189604866</v>
      </c>
      <c r="B357" s="47">
        <f>IF([2]Datos!B356="Estructurados",1,0)</f>
        <v>1</v>
      </c>
      <c r="C357" s="48">
        <v>4</v>
      </c>
      <c r="D357" s="47">
        <v>12</v>
      </c>
      <c r="E357" s="47">
        <v>3</v>
      </c>
      <c r="F357" s="47">
        <v>13.623946490309139</v>
      </c>
    </row>
    <row r="358" spans="1:6" x14ac:dyDescent="0.2">
      <c r="A358" s="46">
        <v>12.498735317681099</v>
      </c>
      <c r="B358" s="47">
        <f>IF([2]Datos!B357="Estructurados",1,0)</f>
        <v>0</v>
      </c>
      <c r="C358" s="48">
        <v>5</v>
      </c>
      <c r="D358" s="47">
        <v>20</v>
      </c>
      <c r="E358" s="47">
        <v>5</v>
      </c>
      <c r="F358" s="47">
        <v>14.08608550184587</v>
      </c>
    </row>
    <row r="359" spans="1:6" x14ac:dyDescent="0.2">
      <c r="A359" s="46">
        <v>13.990743432003811</v>
      </c>
      <c r="B359" s="47">
        <f>IF([2]Datos!B358="Estructurados",1,0)</f>
        <v>1</v>
      </c>
      <c r="C359" s="48">
        <v>5</v>
      </c>
      <c r="D359" s="47">
        <v>5</v>
      </c>
      <c r="E359" s="47">
        <v>2</v>
      </c>
      <c r="F359" s="47">
        <v>14.11752937388912</v>
      </c>
    </row>
    <row r="360" spans="1:6" x14ac:dyDescent="0.2">
      <c r="A360" s="46">
        <v>20.85567068053993</v>
      </c>
      <c r="B360" s="47">
        <f>IF([2]Datos!B359="Estructurados",1,0)</f>
        <v>0</v>
      </c>
      <c r="C360" s="48">
        <v>4</v>
      </c>
      <c r="D360" s="47">
        <v>5</v>
      </c>
      <c r="E360" s="47">
        <v>4</v>
      </c>
      <c r="F360" s="47">
        <v>16.18765980322291</v>
      </c>
    </row>
    <row r="361" spans="1:6" x14ac:dyDescent="0.2">
      <c r="A361" s="46">
        <v>13.161359280169041</v>
      </c>
      <c r="B361" s="47">
        <f>IF([2]Datos!B360="Estructurados",1,0)</f>
        <v>1</v>
      </c>
      <c r="C361" s="48">
        <v>5</v>
      </c>
      <c r="D361" s="47">
        <v>6</v>
      </c>
      <c r="E361" s="47">
        <v>2</v>
      </c>
      <c r="F361" s="47">
        <v>9.3654925129631117</v>
      </c>
    </row>
    <row r="362" spans="1:6" x14ac:dyDescent="0.2">
      <c r="A362" s="46">
        <v>23.586384528223839</v>
      </c>
      <c r="B362" s="47">
        <f>IF([2]Datos!B361="Estructurados",1,0)</f>
        <v>0</v>
      </c>
      <c r="C362" s="48">
        <v>4</v>
      </c>
      <c r="D362" s="47">
        <v>9</v>
      </c>
      <c r="E362" s="47">
        <v>5</v>
      </c>
      <c r="F362" s="47">
        <v>15.87775861215159</v>
      </c>
    </row>
    <row r="363" spans="1:6" x14ac:dyDescent="0.2">
      <c r="A363" s="46">
        <v>16.259673257120589</v>
      </c>
      <c r="B363" s="47">
        <f>IF([2]Datos!B362="Estructurados",1,0)</f>
        <v>1</v>
      </c>
      <c r="C363" s="48">
        <v>2</v>
      </c>
      <c r="D363" s="47">
        <v>2</v>
      </c>
      <c r="E363" s="47">
        <v>1</v>
      </c>
      <c r="F363" s="47">
        <v>12.78582992750416</v>
      </c>
    </row>
    <row r="364" spans="1:6" x14ac:dyDescent="0.2">
      <c r="A364" s="46">
        <v>12.766369456501289</v>
      </c>
      <c r="B364" s="47">
        <f>IF([2]Datos!B363="Estructurados",1,0)</f>
        <v>0</v>
      </c>
      <c r="C364" s="48">
        <v>3</v>
      </c>
      <c r="D364" s="47">
        <v>12</v>
      </c>
      <c r="E364" s="47">
        <v>1</v>
      </c>
      <c r="F364" s="47">
        <v>10.889043581236249</v>
      </c>
    </row>
    <row r="365" spans="1:6" x14ac:dyDescent="0.2">
      <c r="A365" s="46">
        <v>16.94561992577157</v>
      </c>
      <c r="B365" s="47">
        <f>IF([2]Datos!B364="Estructurados",1,0)</f>
        <v>1</v>
      </c>
      <c r="C365" s="48">
        <v>2</v>
      </c>
      <c r="D365" s="47">
        <v>3</v>
      </c>
      <c r="E365" s="47">
        <v>5</v>
      </c>
      <c r="F365" s="47">
        <v>20.52200948712526</v>
      </c>
    </row>
    <row r="366" spans="1:6" x14ac:dyDescent="0.2">
      <c r="A366" s="46">
        <v>9.2008558610494706</v>
      </c>
      <c r="B366" s="47">
        <f>IF([2]Datos!B365="Estructurados",1,0)</f>
        <v>1</v>
      </c>
      <c r="C366" s="48">
        <v>4</v>
      </c>
      <c r="D366" s="47">
        <v>20</v>
      </c>
      <c r="E366" s="47">
        <v>1</v>
      </c>
      <c r="F366" s="47">
        <v>13.82757239192215</v>
      </c>
    </row>
    <row r="367" spans="1:6" x14ac:dyDescent="0.2">
      <c r="A367" s="46">
        <v>7.3450719958555561</v>
      </c>
      <c r="B367" s="47">
        <f>IF([2]Datos!B366="Estructurados",1,0)</f>
        <v>1</v>
      </c>
      <c r="C367" s="48">
        <v>4</v>
      </c>
      <c r="D367" s="47">
        <v>12</v>
      </c>
      <c r="E367" s="47">
        <v>1</v>
      </c>
      <c r="F367" s="47">
        <v>12.587649206859069</v>
      </c>
    </row>
    <row r="368" spans="1:6" x14ac:dyDescent="0.2">
      <c r="A368" s="46">
        <v>13.79938976405708</v>
      </c>
      <c r="B368" s="47">
        <f>IF([2]Datos!B367="Estructurados",1,0)</f>
        <v>0</v>
      </c>
      <c r="C368" s="48">
        <v>5</v>
      </c>
      <c r="D368" s="47">
        <v>17</v>
      </c>
      <c r="E368" s="47">
        <v>1</v>
      </c>
      <c r="F368" s="47">
        <v>14.61138920330508</v>
      </c>
    </row>
    <row r="369" spans="1:6" x14ac:dyDescent="0.2">
      <c r="A369" s="46">
        <v>13.11204624090521</v>
      </c>
      <c r="B369" s="47">
        <f>IF([2]Datos!B368="Estructurados",1,0)</f>
        <v>1</v>
      </c>
      <c r="C369" s="48">
        <v>4</v>
      </c>
      <c r="D369" s="47">
        <v>10</v>
      </c>
      <c r="E369" s="47">
        <v>4</v>
      </c>
      <c r="F369" s="47">
        <v>11.62684987147693</v>
      </c>
    </row>
    <row r="370" spans="1:6" x14ac:dyDescent="0.2">
      <c r="A370" s="46">
        <v>10.006296200390899</v>
      </c>
      <c r="B370" s="47">
        <f>IF([2]Datos!B369="Estructurados",1,0)</f>
        <v>0</v>
      </c>
      <c r="C370" s="48">
        <v>4</v>
      </c>
      <c r="D370" s="47">
        <v>14</v>
      </c>
      <c r="E370" s="47">
        <v>4</v>
      </c>
      <c r="F370" s="47">
        <v>16.96208539940676</v>
      </c>
    </row>
    <row r="371" spans="1:6" x14ac:dyDescent="0.2">
      <c r="A371" s="46">
        <v>16.048838049274419</v>
      </c>
      <c r="B371" s="47">
        <f>IF([2]Datos!B370="Estructurados",1,0)</f>
        <v>0</v>
      </c>
      <c r="C371" s="48">
        <v>5</v>
      </c>
      <c r="D371" s="47">
        <v>17</v>
      </c>
      <c r="E371" s="47">
        <v>3</v>
      </c>
      <c r="F371" s="47">
        <v>14.44745647508716</v>
      </c>
    </row>
    <row r="372" spans="1:6" x14ac:dyDescent="0.2">
      <c r="A372" s="46">
        <v>16.613495108072271</v>
      </c>
      <c r="B372" s="47">
        <f>IF([2]Datos!B371="Estructurados",1,0)</f>
        <v>1</v>
      </c>
      <c r="C372" s="48">
        <v>2</v>
      </c>
      <c r="D372" s="47">
        <v>18</v>
      </c>
      <c r="E372" s="47">
        <v>2</v>
      </c>
      <c r="F372" s="47">
        <v>19.944077668094849</v>
      </c>
    </row>
    <row r="373" spans="1:6" x14ac:dyDescent="0.2">
      <c r="A373" s="46">
        <v>13.01225508712947</v>
      </c>
      <c r="B373" s="47">
        <f>IF([2]Datos!B372="Estructurados",1,0)</f>
        <v>1</v>
      </c>
      <c r="C373" s="48">
        <v>4</v>
      </c>
      <c r="D373" s="47">
        <v>19</v>
      </c>
      <c r="E373" s="47">
        <v>5</v>
      </c>
      <c r="F373" s="47">
        <v>15.20054353839793</v>
      </c>
    </row>
    <row r="374" spans="1:6" x14ac:dyDescent="0.2">
      <c r="A374" s="46">
        <v>13.248999145622721</v>
      </c>
      <c r="B374" s="47">
        <f>IF([2]Datos!B373="Estructurados",1,0)</f>
        <v>1</v>
      </c>
      <c r="C374" s="48">
        <v>5</v>
      </c>
      <c r="D374" s="47">
        <v>17</v>
      </c>
      <c r="E374" s="47">
        <v>5</v>
      </c>
      <c r="F374" s="47">
        <v>17.19946882370191</v>
      </c>
    </row>
    <row r="375" spans="1:6" x14ac:dyDescent="0.2">
      <c r="A375" s="46">
        <v>18.72557180389752</v>
      </c>
      <c r="B375" s="47">
        <f>IF([2]Datos!B374="Estructurados",1,0)</f>
        <v>0</v>
      </c>
      <c r="C375" s="48">
        <v>3</v>
      </c>
      <c r="D375" s="47">
        <v>14</v>
      </c>
      <c r="E375" s="47">
        <v>5</v>
      </c>
      <c r="F375" s="47">
        <v>17.64604448490077</v>
      </c>
    </row>
    <row r="376" spans="1:6" x14ac:dyDescent="0.2">
      <c r="A376" s="46">
        <v>14.479635413042599</v>
      </c>
      <c r="B376" s="47">
        <f>IF([2]Datos!B375="Estructurados",1,0)</f>
        <v>1</v>
      </c>
      <c r="C376" s="48">
        <v>5</v>
      </c>
      <c r="D376" s="47">
        <v>9</v>
      </c>
      <c r="E376" s="47">
        <v>3</v>
      </c>
      <c r="F376" s="47">
        <v>18.53705567518141</v>
      </c>
    </row>
    <row r="377" spans="1:6" x14ac:dyDescent="0.2">
      <c r="A377" s="46">
        <v>10.076591228755779</v>
      </c>
      <c r="B377" s="47">
        <f>IF([2]Datos!B376="Estructurados",1,0)</f>
        <v>0</v>
      </c>
      <c r="C377" s="48">
        <v>4</v>
      </c>
      <c r="D377" s="47">
        <v>8</v>
      </c>
      <c r="E377" s="47">
        <v>4</v>
      </c>
      <c r="F377" s="47">
        <v>11.011462931496441</v>
      </c>
    </row>
    <row r="378" spans="1:6" x14ac:dyDescent="0.2">
      <c r="A378" s="46">
        <v>6.616326218555975</v>
      </c>
      <c r="B378" s="47">
        <f>IF([2]Datos!B377="Estructurados",1,0)</f>
        <v>0</v>
      </c>
      <c r="C378" s="48">
        <v>4</v>
      </c>
      <c r="D378" s="47">
        <v>2</v>
      </c>
      <c r="E378" s="47">
        <v>3</v>
      </c>
      <c r="F378" s="47">
        <v>8.8122161863035409</v>
      </c>
    </row>
    <row r="379" spans="1:6" x14ac:dyDescent="0.2">
      <c r="A379" s="46">
        <v>9.43616031836034</v>
      </c>
      <c r="B379" s="47">
        <f>IF([2]Datos!B378="Estructurados",1,0)</f>
        <v>1</v>
      </c>
      <c r="C379" s="48">
        <v>5</v>
      </c>
      <c r="D379" s="47">
        <v>13</v>
      </c>
      <c r="E379" s="47">
        <v>5</v>
      </c>
      <c r="F379" s="47">
        <v>9.2120633597471926</v>
      </c>
    </row>
    <row r="380" spans="1:6" x14ac:dyDescent="0.2">
      <c r="A380" s="46">
        <v>18.09167100286918</v>
      </c>
      <c r="B380" s="47">
        <f>IF([2]Datos!B379="Estructurados",1,0)</f>
        <v>1</v>
      </c>
      <c r="C380" s="48">
        <v>5</v>
      </c>
      <c r="D380" s="47">
        <v>7</v>
      </c>
      <c r="E380" s="47">
        <v>2</v>
      </c>
      <c r="F380" s="47">
        <v>11.403491361248349</v>
      </c>
    </row>
    <row r="381" spans="1:6" x14ac:dyDescent="0.2">
      <c r="A381" s="46">
        <v>26.094901466608839</v>
      </c>
      <c r="B381" s="47">
        <f>IF([2]Datos!B380="Estructurados",1,0)</f>
        <v>1</v>
      </c>
      <c r="C381" s="48">
        <v>4</v>
      </c>
      <c r="D381" s="47">
        <v>9</v>
      </c>
      <c r="E381" s="47">
        <v>1</v>
      </c>
      <c r="F381" s="47">
        <v>17.09461296924967</v>
      </c>
    </row>
    <row r="382" spans="1:6" x14ac:dyDescent="0.2">
      <c r="A382" s="46">
        <v>7.5958508573224242</v>
      </c>
      <c r="B382" s="47">
        <f>IF([2]Datos!B381="Estructurados",1,0)</f>
        <v>1</v>
      </c>
      <c r="C382" s="48">
        <v>4</v>
      </c>
      <c r="D382" s="47">
        <v>11</v>
      </c>
      <c r="E382" s="47">
        <v>4</v>
      </c>
      <c r="F382" s="47">
        <v>15.05778156213418</v>
      </c>
    </row>
    <row r="383" spans="1:6" x14ac:dyDescent="0.2">
      <c r="A383" s="46">
        <v>15.58013907890961</v>
      </c>
      <c r="B383" s="47">
        <f>IF([2]Datos!B382="Estructurados",1,0)</f>
        <v>1</v>
      </c>
      <c r="C383" s="48">
        <v>4</v>
      </c>
      <c r="D383" s="47">
        <v>14</v>
      </c>
      <c r="E383" s="47">
        <v>4</v>
      </c>
      <c r="F383" s="47">
        <v>22.33691657995508</v>
      </c>
    </row>
    <row r="384" spans="1:6" x14ac:dyDescent="0.2">
      <c r="A384" s="46">
        <v>13.70030367727799</v>
      </c>
      <c r="B384" s="47">
        <f>IF([2]Datos!B383="Estructurados",1,0)</f>
        <v>1</v>
      </c>
      <c r="C384" s="48">
        <v>3</v>
      </c>
      <c r="D384" s="47">
        <v>4</v>
      </c>
      <c r="E384" s="47">
        <v>3</v>
      </c>
      <c r="F384" s="47">
        <v>11.22368668234483</v>
      </c>
    </row>
    <row r="385" spans="1:6" x14ac:dyDescent="0.2">
      <c r="A385" s="46">
        <v>4.9380521378450961</v>
      </c>
      <c r="B385" s="47">
        <f>IF([2]Datos!B384="Estructurados",1,0)</f>
        <v>0</v>
      </c>
      <c r="C385" s="48">
        <v>5</v>
      </c>
      <c r="D385" s="47">
        <v>13</v>
      </c>
      <c r="E385" s="47">
        <v>4</v>
      </c>
      <c r="F385" s="47">
        <v>9.0331049765901739</v>
      </c>
    </row>
    <row r="386" spans="1:6" x14ac:dyDescent="0.2">
      <c r="A386" s="46">
        <v>13.737122489159621</v>
      </c>
      <c r="B386" s="47">
        <f>IF([2]Datos!B385="Estructurados",1,0)</f>
        <v>0</v>
      </c>
      <c r="C386" s="48">
        <v>3</v>
      </c>
      <c r="D386" s="47">
        <v>2</v>
      </c>
      <c r="E386" s="47">
        <v>5</v>
      </c>
      <c r="F386" s="47">
        <v>14.910724422641779</v>
      </c>
    </row>
    <row r="387" spans="1:6" x14ac:dyDescent="0.2">
      <c r="A387" s="46">
        <v>11.62043366922315</v>
      </c>
      <c r="B387" s="47">
        <f>IF([2]Datos!B386="Estructurados",1,0)</f>
        <v>0</v>
      </c>
      <c r="C387" s="48">
        <v>4</v>
      </c>
      <c r="D387" s="47">
        <v>5</v>
      </c>
      <c r="E387" s="47">
        <v>5</v>
      </c>
      <c r="F387" s="47">
        <v>9.6722852622984572</v>
      </c>
    </row>
    <row r="388" spans="1:6" x14ac:dyDescent="0.2">
      <c r="A388" s="46">
        <v>15.0751968932381</v>
      </c>
      <c r="B388" s="47">
        <f>IF([2]Datos!B387="Estructurados",1,0)</f>
        <v>1</v>
      </c>
      <c r="C388" s="48">
        <v>4</v>
      </c>
      <c r="D388" s="47">
        <v>11</v>
      </c>
      <c r="E388" s="47">
        <v>3</v>
      </c>
      <c r="F388" s="47">
        <v>15.767239977955031</v>
      </c>
    </row>
    <row r="389" spans="1:6" x14ac:dyDescent="0.2">
      <c r="A389" s="46">
        <v>16.170877987888581</v>
      </c>
      <c r="B389" s="47">
        <f>IF([2]Datos!B388="Estructurados",1,0)</f>
        <v>0</v>
      </c>
      <c r="C389" s="48">
        <v>4</v>
      </c>
      <c r="D389" s="47">
        <v>6</v>
      </c>
      <c r="E389" s="47">
        <v>5</v>
      </c>
      <c r="F389" s="47">
        <v>12.82810621769883</v>
      </c>
    </row>
    <row r="390" spans="1:6" x14ac:dyDescent="0.2">
      <c r="A390" s="46">
        <v>17.93808541960794</v>
      </c>
      <c r="B390" s="47">
        <f>IF([2]Datos!B389="Estructurados",1,0)</f>
        <v>0</v>
      </c>
      <c r="C390" s="48">
        <v>4</v>
      </c>
      <c r="D390" s="47">
        <v>18</v>
      </c>
      <c r="E390" s="47">
        <v>2</v>
      </c>
      <c r="F390" s="47">
        <v>16.150413481410801</v>
      </c>
    </row>
    <row r="391" spans="1:6" x14ac:dyDescent="0.2">
      <c r="A391" s="46">
        <v>13.475211919093031</v>
      </c>
      <c r="B391" s="47">
        <f>IF([2]Datos!B390="Estructurados",1,0)</f>
        <v>0</v>
      </c>
      <c r="C391" s="48">
        <v>5</v>
      </c>
      <c r="D391" s="47">
        <v>10</v>
      </c>
      <c r="E391" s="47">
        <v>3</v>
      </c>
      <c r="F391" s="47">
        <v>14.978499257390551</v>
      </c>
    </row>
    <row r="392" spans="1:6" x14ac:dyDescent="0.2">
      <c r="A392" s="46">
        <v>16.711548172168801</v>
      </c>
      <c r="B392" s="47">
        <f>IF([2]Datos!B391="Estructurados",1,0)</f>
        <v>0</v>
      </c>
      <c r="C392" s="48">
        <v>3</v>
      </c>
      <c r="D392" s="47">
        <v>4</v>
      </c>
      <c r="E392" s="47">
        <v>2</v>
      </c>
      <c r="F392" s="47">
        <v>11.56049377383701</v>
      </c>
    </row>
    <row r="393" spans="1:6" x14ac:dyDescent="0.2">
      <c r="A393" s="46">
        <v>20.550792664325819</v>
      </c>
      <c r="B393" s="47">
        <f>IF([2]Datos!B392="Estructurados",1,0)</f>
        <v>0</v>
      </c>
      <c r="C393" s="48">
        <v>4</v>
      </c>
      <c r="D393" s="47">
        <v>9</v>
      </c>
      <c r="E393" s="47">
        <v>1</v>
      </c>
      <c r="F393" s="47">
        <v>17.03293046421431</v>
      </c>
    </row>
    <row r="394" spans="1:6" x14ac:dyDescent="0.2">
      <c r="A394" s="46">
        <v>23.245959585753251</v>
      </c>
      <c r="B394" s="47">
        <f>IF([2]Datos!B393="Estructurados",1,0)</f>
        <v>1</v>
      </c>
      <c r="C394" s="48">
        <v>3</v>
      </c>
      <c r="D394" s="47">
        <v>6</v>
      </c>
      <c r="E394" s="47">
        <v>2</v>
      </c>
      <c r="F394" s="47">
        <v>17.52827775256198</v>
      </c>
    </row>
    <row r="395" spans="1:6" x14ac:dyDescent="0.2">
      <c r="A395" s="46">
        <v>15.339883396489681</v>
      </c>
      <c r="B395" s="47">
        <f>IF([2]Datos!B394="Estructurados",1,0)</f>
        <v>1</v>
      </c>
      <c r="C395" s="48">
        <v>4</v>
      </c>
      <c r="D395" s="47">
        <v>2</v>
      </c>
      <c r="E395" s="47">
        <v>1</v>
      </c>
      <c r="F395" s="47">
        <v>7.0292763652640211</v>
      </c>
    </row>
    <row r="396" spans="1:6" x14ac:dyDescent="0.2">
      <c r="A396" s="46">
        <v>22.915729382927179</v>
      </c>
      <c r="B396" s="47">
        <f>IF([2]Datos!B395="Estructurados",1,0)</f>
        <v>0</v>
      </c>
      <c r="C396" s="48">
        <v>4</v>
      </c>
      <c r="D396" s="47">
        <v>17</v>
      </c>
      <c r="E396" s="47">
        <v>1</v>
      </c>
      <c r="F396" s="47">
        <v>13.15227413183678</v>
      </c>
    </row>
    <row r="397" spans="1:6" x14ac:dyDescent="0.2">
      <c r="A397" s="46">
        <v>6.5897200603606434</v>
      </c>
      <c r="B397" s="47">
        <f>IF([2]Datos!B396="Estructurados",1,0)</f>
        <v>0</v>
      </c>
      <c r="C397" s="48">
        <v>5</v>
      </c>
      <c r="D397" s="47">
        <v>5</v>
      </c>
      <c r="E397" s="47">
        <v>2</v>
      </c>
      <c r="F397" s="47">
        <v>4.2387432682255364</v>
      </c>
    </row>
    <row r="398" spans="1:6" x14ac:dyDescent="0.2">
      <c r="A398" s="46">
        <v>12.76541217394765</v>
      </c>
      <c r="B398" s="47">
        <f>IF([2]Datos!B397="Estructurados",1,0)</f>
        <v>0</v>
      </c>
      <c r="C398" s="48">
        <v>3</v>
      </c>
      <c r="D398" s="47">
        <v>6</v>
      </c>
      <c r="E398" s="47">
        <v>3</v>
      </c>
      <c r="F398" s="47">
        <v>18.24154975365833</v>
      </c>
    </row>
    <row r="399" spans="1:6" x14ac:dyDescent="0.2">
      <c r="A399" s="46">
        <v>15.14343273545456</v>
      </c>
      <c r="B399" s="47">
        <f>IF([2]Datos!B398="Estructurados",1,0)</f>
        <v>1</v>
      </c>
      <c r="C399" s="48">
        <v>5</v>
      </c>
      <c r="D399" s="47">
        <v>12</v>
      </c>
      <c r="E399" s="47">
        <v>5</v>
      </c>
      <c r="F399" s="47">
        <v>13.908831578706939</v>
      </c>
    </row>
    <row r="400" spans="1:6" x14ac:dyDescent="0.2">
      <c r="A400" s="46">
        <v>19.67693618708271</v>
      </c>
      <c r="B400" s="47">
        <f>IF([2]Datos!B399="Estructurados",1,0)</f>
        <v>1</v>
      </c>
      <c r="C400" s="48">
        <v>5</v>
      </c>
      <c r="D400" s="47">
        <v>10</v>
      </c>
      <c r="E400" s="47">
        <v>5</v>
      </c>
      <c r="F400" s="47">
        <v>19.629123520577441</v>
      </c>
    </row>
    <row r="401" spans="1:6" x14ac:dyDescent="0.2">
      <c r="A401" s="46">
        <v>13.942730077373691</v>
      </c>
      <c r="B401" s="47">
        <f>IF([2]Datos!B400="Estructurados",1,0)</f>
        <v>0</v>
      </c>
      <c r="C401" s="48">
        <v>4</v>
      </c>
      <c r="D401" s="47">
        <v>6</v>
      </c>
      <c r="E401" s="47">
        <v>1</v>
      </c>
      <c r="F401" s="47">
        <v>7.6374421619363622</v>
      </c>
    </row>
    <row r="402" spans="1:6" x14ac:dyDescent="0.2">
      <c r="A402" s="46">
        <v>20.61890815598673</v>
      </c>
      <c r="B402" s="47">
        <f>IF([2]Datos!B401="Estructurados",1,0)</f>
        <v>1</v>
      </c>
      <c r="C402" s="48">
        <v>5</v>
      </c>
      <c r="D402" s="47">
        <v>8</v>
      </c>
      <c r="E402" s="47">
        <v>1</v>
      </c>
      <c r="F402" s="47">
        <v>11.98890823627562</v>
      </c>
    </row>
  </sheetData>
  <mergeCells count="14">
    <mergeCell ref="H3:O3"/>
    <mergeCell ref="H30:Q30"/>
    <mergeCell ref="I31:M31"/>
    <mergeCell ref="N31:Q31"/>
    <mergeCell ref="I32:M32"/>
    <mergeCell ref="N32:Q32"/>
    <mergeCell ref="I36:M36"/>
    <mergeCell ref="N36:Q36"/>
    <mergeCell ref="I33:M33"/>
    <mergeCell ref="N33:Q33"/>
    <mergeCell ref="I34:M34"/>
    <mergeCell ref="N34:Q34"/>
    <mergeCell ref="I35:M35"/>
    <mergeCell ref="N35:Q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62E0-2653-4E18-9926-136619165F74}">
  <dimension ref="A1:H8"/>
  <sheetViews>
    <sheetView workbookViewId="0">
      <selection activeCell="G11" sqref="G11"/>
    </sheetView>
  </sheetViews>
  <sheetFormatPr defaultColWidth="10.76171875" defaultRowHeight="15" x14ac:dyDescent="0.2"/>
  <cols>
    <col min="1" max="2" width="16.94921875" customWidth="1"/>
  </cols>
  <sheetData>
    <row r="1" spans="1:8" ht="27" customHeight="1" x14ac:dyDescent="0.2">
      <c r="A1" s="69" t="s">
        <v>177</v>
      </c>
      <c r="B1" s="38"/>
      <c r="C1" s="38"/>
      <c r="D1" s="38"/>
      <c r="E1" s="38"/>
      <c r="F1" s="38"/>
    </row>
    <row r="3" spans="1:8" ht="28.5" customHeight="1" x14ac:dyDescent="0.2">
      <c r="A3" s="72" t="s">
        <v>50</v>
      </c>
      <c r="B3" s="72" t="s">
        <v>178</v>
      </c>
      <c r="C3" s="100" t="s">
        <v>179</v>
      </c>
      <c r="D3" s="101"/>
      <c r="E3" s="101"/>
      <c r="F3" s="101"/>
      <c r="G3" s="101"/>
      <c r="H3" s="101"/>
    </row>
    <row r="4" spans="1:8" ht="60.75" customHeight="1" x14ac:dyDescent="0.2">
      <c r="A4" s="57" t="s">
        <v>148</v>
      </c>
      <c r="B4" s="58">
        <v>0.34453357534509799</v>
      </c>
      <c r="C4" s="99" t="s">
        <v>149</v>
      </c>
      <c r="D4" s="99"/>
      <c r="E4" s="99"/>
      <c r="F4" s="99"/>
      <c r="G4" s="99"/>
      <c r="H4" s="99"/>
    </row>
    <row r="6" spans="1:8" x14ac:dyDescent="0.2">
      <c r="A6" s="102" t="s">
        <v>180</v>
      </c>
      <c r="B6" s="102"/>
      <c r="C6" s="102"/>
      <c r="D6" s="102"/>
      <c r="E6" s="102"/>
      <c r="F6" s="102"/>
    </row>
    <row r="7" spans="1:8" x14ac:dyDescent="0.2">
      <c r="A7" s="102"/>
      <c r="B7" s="102"/>
      <c r="C7" s="102"/>
      <c r="D7" s="102"/>
      <c r="E7" s="102"/>
      <c r="F7" s="102"/>
    </row>
    <row r="8" spans="1:8" x14ac:dyDescent="0.2">
      <c r="A8" s="102"/>
      <c r="B8" s="102"/>
      <c r="C8" s="102"/>
      <c r="D8" s="102"/>
      <c r="E8" s="102"/>
      <c r="F8" s="102"/>
    </row>
  </sheetData>
  <mergeCells count="3">
    <mergeCell ref="C4:H4"/>
    <mergeCell ref="C3:H3"/>
    <mergeCell ref="A6:F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789D-7811-441B-9887-50C574D738E1}">
  <dimension ref="A1:T402"/>
  <sheetViews>
    <sheetView topLeftCell="A6" zoomScale="79" zoomScaleNormal="100" workbookViewId="0">
      <selection activeCell="I5" sqref="I5"/>
    </sheetView>
  </sheetViews>
  <sheetFormatPr defaultColWidth="10.76171875" defaultRowHeight="15" x14ac:dyDescent="0.2"/>
  <cols>
    <col min="5" max="5" width="21.1171875" customWidth="1"/>
    <col min="6" max="6" width="14.52734375" customWidth="1"/>
  </cols>
  <sheetData>
    <row r="1" spans="1:17" ht="23.25" customHeight="1" x14ac:dyDescent="0.2">
      <c r="A1" s="73" t="s">
        <v>182</v>
      </c>
      <c r="B1" s="73" t="s">
        <v>174</v>
      </c>
      <c r="D1" s="71" t="s">
        <v>181</v>
      </c>
      <c r="E1" s="70"/>
      <c r="F1" s="70"/>
      <c r="G1" s="70"/>
      <c r="H1" s="70"/>
      <c r="I1" s="70"/>
      <c r="J1" s="70"/>
    </row>
    <row r="2" spans="1:17" ht="41.25" x14ac:dyDescent="0.2">
      <c r="A2" s="45" t="s">
        <v>2</v>
      </c>
      <c r="B2" s="74" t="s">
        <v>3</v>
      </c>
      <c r="L2" t="s">
        <v>144</v>
      </c>
    </row>
    <row r="3" spans="1:17" ht="15.75" thickBot="1" x14ac:dyDescent="0.25">
      <c r="A3" s="75">
        <v>18.24835707650562</v>
      </c>
      <c r="B3" s="75">
        <v>12.65040246790244</v>
      </c>
    </row>
    <row r="4" spans="1:17" x14ac:dyDescent="0.2">
      <c r="A4" s="75">
        <v>9.9308678494144083</v>
      </c>
      <c r="B4" s="75">
        <v>7.8465119664020389</v>
      </c>
      <c r="E4" s="80" t="s">
        <v>190</v>
      </c>
      <c r="F4" s="80" t="s">
        <v>178</v>
      </c>
      <c r="L4" s="56" t="s">
        <v>145</v>
      </c>
      <c r="M4" s="56"/>
    </row>
    <row r="5" spans="1:17" ht="54.75" x14ac:dyDescent="0.2">
      <c r="A5" s="48">
        <v>16.323844269050351</v>
      </c>
      <c r="B5" s="48">
        <v>18.293436851921332</v>
      </c>
      <c r="E5" s="78" t="s">
        <v>189</v>
      </c>
      <c r="F5" s="79">
        <f>_xlfn.FORECAST.LINEAR(20,B3:B402,A3:A402)</f>
        <v>15.109083536471752</v>
      </c>
      <c r="K5" s="103" t="s">
        <v>183</v>
      </c>
      <c r="L5" s="76" t="s">
        <v>146</v>
      </c>
      <c r="M5" s="62">
        <v>0.38811930448595683</v>
      </c>
    </row>
    <row r="6" spans="1:17" ht="54.75" x14ac:dyDescent="0.2">
      <c r="A6" s="48">
        <v>19.761514928204011</v>
      </c>
      <c r="B6" s="48">
        <v>16.354213761904319</v>
      </c>
      <c r="K6" s="103"/>
      <c r="L6" s="77" t="s">
        <v>147</v>
      </c>
      <c r="M6" s="62">
        <v>0.15063659451466288</v>
      </c>
    </row>
    <row r="7" spans="1:17" x14ac:dyDescent="0.2">
      <c r="A7" s="75">
        <v>10.882923312638329</v>
      </c>
      <c r="B7" s="75">
        <v>12.844000643802531</v>
      </c>
      <c r="L7" t="s">
        <v>148</v>
      </c>
      <c r="M7">
        <v>0.14850251560640826</v>
      </c>
    </row>
    <row r="8" spans="1:17" x14ac:dyDescent="0.2">
      <c r="A8" s="75">
        <v>12.882931521525411</v>
      </c>
      <c r="B8" s="75">
        <v>12.09461332508755</v>
      </c>
      <c r="L8" s="62" t="s">
        <v>150</v>
      </c>
      <c r="M8" s="62">
        <v>2.8767120040344469</v>
      </c>
    </row>
    <row r="9" spans="1:17" ht="15.75" thickBot="1" x14ac:dyDescent="0.25">
      <c r="A9" s="75">
        <v>14.78960640775369</v>
      </c>
      <c r="B9" s="75">
        <v>11.389638858607681</v>
      </c>
      <c r="L9" s="59" t="s">
        <v>151</v>
      </c>
      <c r="M9" s="59">
        <v>400</v>
      </c>
    </row>
    <row r="10" spans="1:17" x14ac:dyDescent="0.2">
      <c r="A10" s="75">
        <v>16.383717364576459</v>
      </c>
      <c r="B10" s="75">
        <v>9.9412842031688946</v>
      </c>
    </row>
    <row r="11" spans="1:17" ht="15.75" thickBot="1" x14ac:dyDescent="0.25">
      <c r="A11" s="75">
        <v>11.765262807032521</v>
      </c>
      <c r="B11" s="75">
        <v>17.777647854780032</v>
      </c>
      <c r="L11" t="s">
        <v>152</v>
      </c>
    </row>
    <row r="12" spans="1:17" x14ac:dyDescent="0.2">
      <c r="A12" s="75">
        <v>14.271280021792981</v>
      </c>
      <c r="B12" s="75">
        <v>17.904702937757719</v>
      </c>
      <c r="L12" s="60"/>
      <c r="M12" s="60" t="s">
        <v>153</v>
      </c>
      <c r="N12" s="60" t="s">
        <v>154</v>
      </c>
      <c r="O12" s="60" t="s">
        <v>155</v>
      </c>
      <c r="P12" s="60" t="s">
        <v>156</v>
      </c>
      <c r="Q12" s="60" t="s">
        <v>157</v>
      </c>
    </row>
    <row r="13" spans="1:17" x14ac:dyDescent="0.2">
      <c r="A13" s="75">
        <v>10.76829115359377</v>
      </c>
      <c r="B13" s="75">
        <v>11.19785521820382</v>
      </c>
      <c r="L13" t="s">
        <v>158</v>
      </c>
      <c r="M13">
        <v>1</v>
      </c>
      <c r="N13">
        <v>584.13440494343467</v>
      </c>
      <c r="O13">
        <v>584.13440494343467</v>
      </c>
      <c r="P13">
        <v>70.586234619535674</v>
      </c>
      <c r="Q13">
        <v>7.8787106762710563E-16</v>
      </c>
    </row>
    <row r="14" spans="1:17" x14ac:dyDescent="0.2">
      <c r="A14" s="75">
        <v>15.767135123214871</v>
      </c>
      <c r="B14" s="75">
        <v>13.224495104306291</v>
      </c>
      <c r="K14" s="47" t="s">
        <v>184</v>
      </c>
      <c r="L14" t="s">
        <v>159</v>
      </c>
      <c r="M14">
        <v>398</v>
      </c>
      <c r="N14" s="62">
        <v>3293.6378377540418</v>
      </c>
      <c r="O14">
        <v>8.2754719541558845</v>
      </c>
    </row>
    <row r="15" spans="1:17" ht="15.75" thickBot="1" x14ac:dyDescent="0.25">
      <c r="A15" s="75">
        <v>16.120981135783019</v>
      </c>
      <c r="B15" s="75">
        <v>11.319782517736559</v>
      </c>
      <c r="K15" s="47" t="s">
        <v>185</v>
      </c>
      <c r="L15" s="59" t="s">
        <v>47</v>
      </c>
      <c r="M15" s="59">
        <v>399</v>
      </c>
      <c r="N15" s="63">
        <v>3877.7722426974765</v>
      </c>
      <c r="O15" s="59"/>
      <c r="P15" s="59"/>
      <c r="Q15" s="59"/>
    </row>
    <row r="16" spans="1:17" ht="15.75" thickBot="1" x14ac:dyDescent="0.25">
      <c r="A16" s="75">
        <v>12.043359877671101</v>
      </c>
      <c r="B16" s="75">
        <v>16.053874715719651</v>
      </c>
    </row>
    <row r="17" spans="1:20" x14ac:dyDescent="0.2">
      <c r="A17" s="75">
        <v>16.137541083743479</v>
      </c>
      <c r="B17" s="75">
        <v>14.691367565359011</v>
      </c>
      <c r="L17" s="60"/>
      <c r="M17" s="60" t="s">
        <v>160</v>
      </c>
      <c r="N17" s="60" t="s">
        <v>150</v>
      </c>
      <c r="O17" s="60" t="s">
        <v>161</v>
      </c>
      <c r="P17" s="60" t="s">
        <v>162</v>
      </c>
      <c r="Q17" s="60" t="s">
        <v>163</v>
      </c>
      <c r="R17" s="60" t="s">
        <v>164</v>
      </c>
      <c r="S17" s="60" t="s">
        <v>165</v>
      </c>
      <c r="T17" s="60" t="s">
        <v>166</v>
      </c>
    </row>
    <row r="18" spans="1:20" x14ac:dyDescent="0.2">
      <c r="A18" s="75">
        <v>9.7188562353795138</v>
      </c>
      <c r="B18" s="75">
        <v>14.585083559174009</v>
      </c>
      <c r="K18" s="75" t="s">
        <v>186</v>
      </c>
      <c r="L18" s="62" t="s">
        <v>167</v>
      </c>
      <c r="M18" s="62">
        <v>9.2821160788103949</v>
      </c>
      <c r="N18">
        <v>0.53505334344984012</v>
      </c>
      <c r="O18">
        <v>17.348019954351653</v>
      </c>
      <c r="P18">
        <v>1.3024528478250769E-50</v>
      </c>
      <c r="Q18">
        <v>8.2302320653373506</v>
      </c>
      <c r="R18">
        <v>10.334000092283439</v>
      </c>
      <c r="S18">
        <v>8.2302320653373506</v>
      </c>
      <c r="T18">
        <v>10.334000092283439</v>
      </c>
    </row>
    <row r="19" spans="1:20" ht="15.75" thickBot="1" x14ac:dyDescent="0.25">
      <c r="A19" s="75">
        <v>11.493584439832791</v>
      </c>
      <c r="B19" s="75">
        <v>9.6594152362102754</v>
      </c>
      <c r="K19" s="75" t="s">
        <v>187</v>
      </c>
      <c r="L19" s="63" t="s">
        <v>2</v>
      </c>
      <c r="M19" s="63">
        <v>0.29134837288306792</v>
      </c>
      <c r="N19" s="59">
        <v>3.4677883984486978E-2</v>
      </c>
      <c r="O19" s="59">
        <v>8.4015614393716049</v>
      </c>
      <c r="P19" s="59">
        <v>7.878710676270375E-16</v>
      </c>
      <c r="Q19" s="59">
        <v>0.22317365305202658</v>
      </c>
      <c r="R19" s="59">
        <v>0.35952309271410926</v>
      </c>
      <c r="S19" s="59">
        <v>0.22317365305202658</v>
      </c>
      <c r="T19" s="59">
        <v>0.35952309271410926</v>
      </c>
    </row>
    <row r="20" spans="1:20" x14ac:dyDescent="0.2">
      <c r="A20" s="75">
        <v>13.15712366629764</v>
      </c>
      <c r="B20" s="75">
        <v>14.2428104906003</v>
      </c>
    </row>
    <row r="21" spans="1:20" x14ac:dyDescent="0.2">
      <c r="A21" s="75">
        <v>14.545987962239391</v>
      </c>
      <c r="B21" s="75">
        <v>9.2541405664508591</v>
      </c>
      <c r="K21" s="48" t="s">
        <v>188</v>
      </c>
      <c r="L21" s="62">
        <f>TINV(0.05,3)</f>
        <v>3.1824463052837091</v>
      </c>
    </row>
    <row r="22" spans="1:20" x14ac:dyDescent="0.2">
      <c r="A22" s="75">
        <v>8.293848149332355</v>
      </c>
      <c r="B22" s="75">
        <v>8.2039121859149571</v>
      </c>
    </row>
    <row r="23" spans="1:20" x14ac:dyDescent="0.2">
      <c r="A23" s="75">
        <v>6.7328243844607769</v>
      </c>
      <c r="B23" s="75">
        <v>14.952775638815289</v>
      </c>
    </row>
    <row r="24" spans="1:20" x14ac:dyDescent="0.2">
      <c r="A24" s="75">
        <v>13.88711184975673</v>
      </c>
      <c r="B24" s="75">
        <v>12.45202911119684</v>
      </c>
    </row>
    <row r="25" spans="1:20" x14ac:dyDescent="0.2">
      <c r="A25" s="75">
        <v>19.033764102343959</v>
      </c>
      <c r="B25" s="75">
        <v>11.223453100944949</v>
      </c>
    </row>
    <row r="26" spans="1:20" x14ac:dyDescent="0.2">
      <c r="A26" s="75">
        <v>11.28762590689327</v>
      </c>
      <c r="B26" s="75">
        <v>15.35940447929285</v>
      </c>
    </row>
    <row r="27" spans="1:20" x14ac:dyDescent="0.2">
      <c r="A27" s="75">
        <v>9.7278086377374091</v>
      </c>
      <c r="B27" s="75">
        <v>13.3886657418259</v>
      </c>
    </row>
    <row r="28" spans="1:20" x14ac:dyDescent="0.2">
      <c r="A28" s="75">
        <v>18.055461294854929</v>
      </c>
      <c r="B28" s="75">
        <v>12.905975100687341</v>
      </c>
    </row>
    <row r="29" spans="1:20" x14ac:dyDescent="0.2">
      <c r="A29" s="75">
        <v>16.424503211288851</v>
      </c>
      <c r="B29" s="75">
        <v>3.0225315056937072</v>
      </c>
    </row>
    <row r="30" spans="1:20" x14ac:dyDescent="0.2">
      <c r="A30" s="75">
        <v>18.18784900917284</v>
      </c>
      <c r="B30" s="75">
        <v>11.70467791664011</v>
      </c>
    </row>
    <row r="31" spans="1:20" x14ac:dyDescent="0.2">
      <c r="A31" s="75">
        <v>12.6996806550406</v>
      </c>
      <c r="B31" s="75">
        <v>16.054967335676711</v>
      </c>
    </row>
    <row r="32" spans="1:20" x14ac:dyDescent="0.2">
      <c r="A32" s="75">
        <v>19.854153125103359</v>
      </c>
      <c r="B32" s="75">
        <v>15.62671998704592</v>
      </c>
    </row>
    <row r="33" spans="1:2" x14ac:dyDescent="0.2">
      <c r="A33" s="75">
        <v>12.6991466938853</v>
      </c>
      <c r="B33" s="75">
        <v>15.181406050601961</v>
      </c>
    </row>
    <row r="34" spans="1:2" x14ac:dyDescent="0.2">
      <c r="A34" s="75">
        <v>13.92613909225447</v>
      </c>
      <c r="B34" s="75">
        <v>10.242997120236129</v>
      </c>
    </row>
    <row r="35" spans="1:2" x14ac:dyDescent="0.2">
      <c r="A35" s="75">
        <v>17.99325138763103</v>
      </c>
      <c r="B35" s="75">
        <v>11.512924546728611</v>
      </c>
    </row>
    <row r="36" spans="1:2" x14ac:dyDescent="0.2">
      <c r="A36" s="75">
        <v>20.47114453552205</v>
      </c>
      <c r="B36" s="75">
        <v>16.758650960675968</v>
      </c>
    </row>
    <row r="37" spans="1:2" x14ac:dyDescent="0.2">
      <c r="A37" s="75">
        <v>10.4112724560516</v>
      </c>
      <c r="B37" s="75">
        <v>13.65170678067982</v>
      </c>
    </row>
    <row r="38" spans="1:2" x14ac:dyDescent="0.2">
      <c r="A38" s="75">
        <v>17.389578175014488</v>
      </c>
      <c r="B38" s="75">
        <v>15.315752147236941</v>
      </c>
    </row>
    <row r="39" spans="1:2" x14ac:dyDescent="0.2">
      <c r="A39" s="75">
        <v>18.104431797502379</v>
      </c>
      <c r="B39" s="75">
        <v>16.972522488526309</v>
      </c>
    </row>
    <row r="40" spans="1:2" x14ac:dyDescent="0.2">
      <c r="A40" s="75">
        <v>14.020164938060111</v>
      </c>
      <c r="B40" s="75">
        <v>14.58814128903018</v>
      </c>
    </row>
    <row r="41" spans="1:2" x14ac:dyDescent="0.2">
      <c r="A41" s="75">
        <v>12.335906975550779</v>
      </c>
      <c r="B41" s="75">
        <v>12.12167627530229</v>
      </c>
    </row>
    <row r="42" spans="1:2" x14ac:dyDescent="0.2">
      <c r="A42" s="75">
        <v>21.098430617934561</v>
      </c>
      <c r="B42" s="75">
        <v>16.648634145275171</v>
      </c>
    </row>
    <row r="43" spans="1:2" x14ac:dyDescent="0.2">
      <c r="A43" s="75">
        <v>14.369233289997711</v>
      </c>
      <c r="B43" s="75">
        <v>13.424887394725021</v>
      </c>
    </row>
    <row r="44" spans="1:2" x14ac:dyDescent="0.2">
      <c r="A44" s="75">
        <v>12.08568414059499</v>
      </c>
      <c r="B44" s="75">
        <v>13.920728505627631</v>
      </c>
    </row>
    <row r="45" spans="1:2" x14ac:dyDescent="0.2">
      <c r="A45" s="75">
        <v>11.94217585880588</v>
      </c>
      <c r="B45" s="75">
        <v>15.87409259191849</v>
      </c>
    </row>
    <row r="46" spans="1:2" x14ac:dyDescent="0.2">
      <c r="A46" s="75">
        <v>21.849448152205351</v>
      </c>
      <c r="B46" s="75">
        <v>19.066837975443249</v>
      </c>
    </row>
    <row r="47" spans="1:2" x14ac:dyDescent="0.2">
      <c r="A47" s="75">
        <v>18.260739004816291</v>
      </c>
      <c r="B47" s="75">
        <v>12.4638930373874</v>
      </c>
    </row>
    <row r="48" spans="1:2" x14ac:dyDescent="0.2">
      <c r="A48" s="75">
        <v>20.640077895802641</v>
      </c>
      <c r="B48" s="75">
        <v>17.070176052707829</v>
      </c>
    </row>
    <row r="49" spans="1:2" x14ac:dyDescent="0.2">
      <c r="A49" s="75">
        <v>12.76968061452011</v>
      </c>
      <c r="B49" s="75">
        <v>12.130810350774491</v>
      </c>
    </row>
    <row r="50" spans="1:2" x14ac:dyDescent="0.2">
      <c r="A50" s="75">
        <v>12.528561113109459</v>
      </c>
      <c r="B50" s="75">
        <v>9.6581866813726513</v>
      </c>
    </row>
    <row r="51" spans="1:2" x14ac:dyDescent="0.2">
      <c r="A51" s="75">
        <v>14.17180914478423</v>
      </c>
      <c r="B51" s="75">
        <v>10.916442355163319</v>
      </c>
    </row>
    <row r="52" spans="1:2" x14ac:dyDescent="0.2">
      <c r="A52" s="75">
        <v>9.1184799223186328</v>
      </c>
      <c r="B52" s="75">
        <v>14.295939328581531</v>
      </c>
    </row>
    <row r="53" spans="1:2" x14ac:dyDescent="0.2">
      <c r="A53" s="75">
        <v>23.162041984697399</v>
      </c>
      <c r="B53" s="75">
        <v>16.001756018873781</v>
      </c>
    </row>
    <row r="54" spans="1:2" x14ac:dyDescent="0.2">
      <c r="A54" s="75">
        <v>14.80745885979184</v>
      </c>
      <c r="B54" s="75">
        <v>13.569629697446871</v>
      </c>
    </row>
    <row r="55" spans="1:2" x14ac:dyDescent="0.2">
      <c r="A55" s="75">
        <v>24.661538999847021</v>
      </c>
      <c r="B55" s="75">
        <v>17.04570764864172</v>
      </c>
    </row>
    <row r="56" spans="1:2" x14ac:dyDescent="0.2">
      <c r="A56" s="75">
        <v>15.305838144420431</v>
      </c>
      <c r="B56" s="75">
        <v>15.061369438808491</v>
      </c>
    </row>
    <row r="57" spans="1:2" x14ac:dyDescent="0.2">
      <c r="A57" s="75">
        <v>12.51549976124798</v>
      </c>
      <c r="B57" s="75">
        <v>12.87320140682939</v>
      </c>
    </row>
    <row r="58" spans="1:2" x14ac:dyDescent="0.2">
      <c r="A58" s="75">
        <v>16.465640059558101</v>
      </c>
      <c r="B58" s="75">
        <v>7.5215063682930889</v>
      </c>
    </row>
    <row r="59" spans="1:2" x14ac:dyDescent="0.2">
      <c r="A59" s="75">
        <v>6.5803912383886809</v>
      </c>
      <c r="B59" s="75">
        <v>10.28668399410321</v>
      </c>
    </row>
    <row r="60" spans="1:2" x14ac:dyDescent="0.2">
      <c r="A60" s="75">
        <v>20.845393812074391</v>
      </c>
      <c r="B60" s="75">
        <v>16.300220744623338</v>
      </c>
    </row>
    <row r="61" spans="1:2" x14ac:dyDescent="0.2">
      <c r="A61" s="75">
        <v>10.16563171570178</v>
      </c>
      <c r="B61" s="75">
        <v>11.79570615895107</v>
      </c>
    </row>
    <row r="62" spans="1:2" x14ac:dyDescent="0.2">
      <c r="A62" s="75">
        <v>17.48777256356118</v>
      </c>
      <c r="B62" s="75">
        <v>10.885864445330711</v>
      </c>
    </row>
    <row r="63" spans="1:2" x14ac:dyDescent="0.2">
      <c r="A63" s="75">
        <v>11.760412881077359</v>
      </c>
      <c r="B63" s="75">
        <v>17.91314195683497</v>
      </c>
    </row>
    <row r="64" spans="1:2" x14ac:dyDescent="0.2">
      <c r="A64" s="75">
        <v>12.90717051166809</v>
      </c>
      <c r="B64" s="75">
        <v>13.55876054745141</v>
      </c>
    </row>
    <row r="65" spans="1:2" x14ac:dyDescent="0.2">
      <c r="A65" s="75">
        <v>16.446832512996981</v>
      </c>
      <c r="B65" s="75">
        <v>16.776643511142488</v>
      </c>
    </row>
    <row r="66" spans="1:2" x14ac:dyDescent="0.2">
      <c r="A66" s="75">
        <v>8.401896687959665</v>
      </c>
      <c r="B66" s="75">
        <v>10.64633654418336</v>
      </c>
    </row>
    <row r="67" spans="1:2" x14ac:dyDescent="0.2">
      <c r="A67" s="75">
        <v>13.4062629111971</v>
      </c>
      <c r="B67" s="75">
        <v>15.76642625220852</v>
      </c>
    </row>
    <row r="68" spans="1:2" x14ac:dyDescent="0.2">
      <c r="A68" s="75">
        <v>17.678120014285408</v>
      </c>
      <c r="B68" s="75">
        <v>14.46520640603444</v>
      </c>
    </row>
    <row r="69" spans="1:2" x14ac:dyDescent="0.2">
      <c r="A69" s="75">
        <v>14.963994939209829</v>
      </c>
      <c r="B69" s="75">
        <v>16.052371550296499</v>
      </c>
    </row>
    <row r="70" spans="1:2" x14ac:dyDescent="0.2">
      <c r="A70" s="75">
        <v>17.501766448946011</v>
      </c>
      <c r="B70" s="75">
        <v>12.426519776874009</v>
      </c>
    </row>
    <row r="71" spans="1:2" x14ac:dyDescent="0.2">
      <c r="A71" s="75">
        <v>17.180818012523819</v>
      </c>
      <c r="B71" s="75">
        <v>14.067513771398829</v>
      </c>
    </row>
    <row r="72" spans="1:2" x14ac:dyDescent="0.2">
      <c r="A72" s="75">
        <v>21.67744012269744</v>
      </c>
      <c r="B72" s="75">
        <v>17.71820810249222</v>
      </c>
    </row>
    <row r="73" spans="1:2" x14ac:dyDescent="0.2">
      <c r="A73" s="75">
        <v>13.18069780275421</v>
      </c>
      <c r="B73" s="75">
        <v>13.041532826086049</v>
      </c>
    </row>
    <row r="74" spans="1:2" x14ac:dyDescent="0.2">
      <c r="A74" s="75">
        <v>12.769018283232979</v>
      </c>
      <c r="B74" s="75">
        <v>8.6769906264173908</v>
      </c>
    </row>
    <row r="75" spans="1:2" x14ac:dyDescent="0.2">
      <c r="A75" s="75">
        <v>18.982086980445029</v>
      </c>
      <c r="B75" s="75">
        <v>14.131973059039209</v>
      </c>
    </row>
    <row r="76" spans="1:2" x14ac:dyDescent="0.2">
      <c r="A76" s="75">
        <v>15.782321827906999</v>
      </c>
      <c r="B76" s="75">
        <v>15.69341016063067</v>
      </c>
    </row>
    <row r="77" spans="1:2" x14ac:dyDescent="0.2">
      <c r="A77" s="75">
        <v>19.690127447955131</v>
      </c>
      <c r="B77" s="75">
        <v>11.326580146999101</v>
      </c>
    </row>
    <row r="78" spans="1:2" x14ac:dyDescent="0.2">
      <c r="A78" s="75">
        <v>13.41095125218761</v>
      </c>
      <c r="B78" s="75">
        <v>16.33821217496854</v>
      </c>
    </row>
    <row r="79" spans="1:2" x14ac:dyDescent="0.2">
      <c r="A79" s="75">
        <v>17.043523534119089</v>
      </c>
      <c r="B79" s="75">
        <v>15.603260204899341</v>
      </c>
    </row>
    <row r="80" spans="1:2" x14ac:dyDescent="0.2">
      <c r="A80" s="75">
        <v>15.85049632476707</v>
      </c>
      <c r="B80" s="75">
        <v>14.137381851597381</v>
      </c>
    </row>
    <row r="81" spans="1:2" x14ac:dyDescent="0.2">
      <c r="A81" s="75">
        <v>9.0458803882677508</v>
      </c>
      <c r="B81" s="75">
        <v>16.57297223288877</v>
      </c>
    </row>
    <row r="82" spans="1:2" x14ac:dyDescent="0.2">
      <c r="A82" s="75">
        <v>14.00621554269955</v>
      </c>
      <c r="B82" s="75">
        <v>13.369188969721799</v>
      </c>
    </row>
    <row r="83" spans="1:2" x14ac:dyDescent="0.2">
      <c r="A83" s="75">
        <v>16.89016405608124</v>
      </c>
      <c r="B83" s="75">
        <v>11.682861668465961</v>
      </c>
    </row>
    <row r="84" spans="1:2" x14ac:dyDescent="0.2">
      <c r="A84" s="75">
        <v>18.178556285755871</v>
      </c>
      <c r="B84" s="75">
        <v>10.243021090015899</v>
      </c>
    </row>
    <row r="85" spans="1:2" x14ac:dyDescent="0.2">
      <c r="A85" s="75">
        <v>13.738947022370761</v>
      </c>
      <c r="B85" s="75">
        <v>14.2057965941523</v>
      </c>
    </row>
    <row r="86" spans="1:2" x14ac:dyDescent="0.2">
      <c r="A86" s="75">
        <v>16.740864890863179</v>
      </c>
      <c r="B86" s="75">
        <v>17.842597045912459</v>
      </c>
    </row>
    <row r="87" spans="1:2" x14ac:dyDescent="0.2">
      <c r="A87" s="75">
        <v>8.5957531985534068</v>
      </c>
      <c r="B87" s="75">
        <v>7.6180705984540982</v>
      </c>
    </row>
    <row r="88" spans="1:2" x14ac:dyDescent="0.2">
      <c r="A88" s="75">
        <v>11.74912147820773</v>
      </c>
      <c r="B88" s="75">
        <v>10.88819021154093</v>
      </c>
    </row>
    <row r="89" spans="1:2" x14ac:dyDescent="0.2">
      <c r="A89" s="75">
        <v>21.45770105885104</v>
      </c>
      <c r="B89" s="75">
        <v>12.872725535428129</v>
      </c>
    </row>
    <row r="90" spans="1:2" x14ac:dyDescent="0.2">
      <c r="A90" s="75">
        <v>19.164375554829839</v>
      </c>
      <c r="B90" s="75">
        <v>13.19856559375132</v>
      </c>
    </row>
    <row r="91" spans="1:2" x14ac:dyDescent="0.2">
      <c r="A91" s="75">
        <v>15.73511989811648</v>
      </c>
      <c r="B91" s="75">
        <v>17.202589981353199</v>
      </c>
    </row>
    <row r="92" spans="1:2" x14ac:dyDescent="0.2">
      <c r="A92" s="75">
        <v>11.25663371655668</v>
      </c>
      <c r="B92" s="75">
        <v>16.985420078006111</v>
      </c>
    </row>
    <row r="93" spans="1:2" x14ac:dyDescent="0.2">
      <c r="A93" s="75">
        <v>12.04853877467402</v>
      </c>
      <c r="B93" s="75">
        <v>13.699052124645471</v>
      </c>
    </row>
    <row r="94" spans="1:2" x14ac:dyDescent="0.2">
      <c r="A94" s="75">
        <v>17.48432249526644</v>
      </c>
      <c r="B94" s="75">
        <v>18.812320458953518</v>
      </c>
    </row>
    <row r="95" spans="1:2" x14ac:dyDescent="0.2">
      <c r="A95" s="75">
        <v>20.64897345306132</v>
      </c>
      <c r="B95" s="75">
        <v>16.398125869214329</v>
      </c>
    </row>
    <row r="96" spans="1:2" x14ac:dyDescent="0.2">
      <c r="A96" s="75">
        <v>11.83616892670112</v>
      </c>
      <c r="B96" s="75">
        <v>10.229704487236621</v>
      </c>
    </row>
    <row r="97" spans="1:2" x14ac:dyDescent="0.2">
      <c r="A97" s="75">
        <v>19.803945923433918</v>
      </c>
      <c r="B97" s="75">
        <v>17.379711103318758</v>
      </c>
    </row>
    <row r="98" spans="1:2" x14ac:dyDescent="0.2">
      <c r="A98" s="75">
        <v>10.268242525933941</v>
      </c>
      <c r="B98" s="75">
        <v>11.760405786338159</v>
      </c>
    </row>
    <row r="99" spans="1:2" x14ac:dyDescent="0.2">
      <c r="A99" s="75">
        <v>22.148060138532291</v>
      </c>
      <c r="B99" s="75">
        <v>14.20577823966928</v>
      </c>
    </row>
    <row r="100" spans="1:2" x14ac:dyDescent="0.2">
      <c r="A100" s="75">
        <v>16.130527636089941</v>
      </c>
      <c r="B100" s="75">
        <v>18.217105308962079</v>
      </c>
    </row>
    <row r="101" spans="1:2" x14ac:dyDescent="0.2">
      <c r="A101" s="75">
        <v>10.002556728321229</v>
      </c>
      <c r="B101" s="75">
        <v>13.231788569531471</v>
      </c>
    </row>
    <row r="102" spans="1:2" x14ac:dyDescent="0.2">
      <c r="A102" s="75">
        <v>19.882706433312421</v>
      </c>
      <c r="B102" s="75">
        <v>14.915622267246571</v>
      </c>
    </row>
    <row r="103" spans="1:2" x14ac:dyDescent="0.2">
      <c r="A103" s="75">
        <v>16.29231462897479</v>
      </c>
      <c r="B103" s="75">
        <v>12.171144457243949</v>
      </c>
    </row>
    <row r="104" spans="1:2" x14ac:dyDescent="0.2">
      <c r="A104" s="75">
        <v>12.78967733861732</v>
      </c>
      <c r="B104" s="75">
        <v>11.76378894554739</v>
      </c>
    </row>
    <row r="105" spans="1:2" x14ac:dyDescent="0.2">
      <c r="A105" s="75">
        <v>14.828642741736619</v>
      </c>
      <c r="B105" s="75">
        <v>11.906518232826899</v>
      </c>
    </row>
    <row r="106" spans="1:2" x14ac:dyDescent="0.2">
      <c r="A106" s="75">
        <v>18.59886136538919</v>
      </c>
      <c r="B106" s="75">
        <v>14.6205719588575</v>
      </c>
    </row>
    <row r="107" spans="1:2" x14ac:dyDescent="0.2">
      <c r="A107" s="75">
        <v>16.919357144166991</v>
      </c>
      <c r="B107" s="75">
        <v>14.52080708982122</v>
      </c>
    </row>
    <row r="108" spans="1:2" x14ac:dyDescent="0.2">
      <c r="A108" s="75">
        <v>21.202025428407271</v>
      </c>
      <c r="B108" s="75">
        <v>13.701572660608109</v>
      </c>
    </row>
    <row r="109" spans="1:2" x14ac:dyDescent="0.2">
      <c r="A109" s="75">
        <v>13.943092950605269</v>
      </c>
      <c r="B109" s="75">
        <v>13.64907877956149</v>
      </c>
    </row>
    <row r="110" spans="1:2" x14ac:dyDescent="0.2">
      <c r="A110" s="75">
        <v>16.087288906415921</v>
      </c>
      <c r="B110" s="75">
        <v>15.02289425078693</v>
      </c>
    </row>
    <row r="111" spans="1:2" x14ac:dyDescent="0.2">
      <c r="A111" s="75">
        <v>15.12877519536138</v>
      </c>
      <c r="B111" s="75">
        <v>14.808138533053979</v>
      </c>
    </row>
    <row r="112" spans="1:2" x14ac:dyDescent="0.2">
      <c r="A112" s="75">
        <v>11.962777042116921</v>
      </c>
      <c r="B112" s="75">
        <v>9.2431938295213136</v>
      </c>
    </row>
    <row r="113" spans="1:2" x14ac:dyDescent="0.2">
      <c r="A113" s="75">
        <v>3.0406143923504789</v>
      </c>
      <c r="B113" s="75">
        <v>10.058608631169941</v>
      </c>
    </row>
    <row r="114" spans="1:2" x14ac:dyDescent="0.2">
      <c r="A114" s="75">
        <v>18.986743062275391</v>
      </c>
      <c r="B114" s="75">
        <v>18.7711835241107</v>
      </c>
    </row>
    <row r="115" spans="1:2" x14ac:dyDescent="0.2">
      <c r="A115" s="75">
        <v>10.030115104970511</v>
      </c>
      <c r="B115" s="75">
        <v>12.882558931748809</v>
      </c>
    </row>
    <row r="116" spans="1:2" x14ac:dyDescent="0.2">
      <c r="A116" s="75">
        <v>19.231621056242641</v>
      </c>
      <c r="B116" s="75">
        <v>13.98349125444458</v>
      </c>
    </row>
    <row r="117" spans="1:2" x14ac:dyDescent="0.2">
      <c r="A117" s="75">
        <v>15.90381951760944</v>
      </c>
      <c r="B117" s="75">
        <v>10.13533812474447</v>
      </c>
    </row>
    <row r="118" spans="1:2" x14ac:dyDescent="0.2">
      <c r="A118" s="75">
        <v>7.1507736711668066</v>
      </c>
      <c r="B118" s="75">
        <v>11.036888265350431</v>
      </c>
    </row>
    <row r="119" spans="1:2" x14ac:dyDescent="0.2">
      <c r="A119" s="75">
        <v>14.98264411514738</v>
      </c>
      <c r="B119" s="75">
        <v>16.97364645005587</v>
      </c>
    </row>
    <row r="120" spans="1:2" x14ac:dyDescent="0.2">
      <c r="A120" s="75">
        <v>14.41566098119023</v>
      </c>
      <c r="B120" s="75">
        <v>14.144222746189721</v>
      </c>
    </row>
    <row r="121" spans="1:2" x14ac:dyDescent="0.2">
      <c r="A121" s="75">
        <v>19.571411407257511</v>
      </c>
      <c r="B121" s="75">
        <v>11.89273885679656</v>
      </c>
    </row>
    <row r="122" spans="1:2" x14ac:dyDescent="0.2">
      <c r="A122" s="75">
        <v>14.375966516343389</v>
      </c>
      <c r="B122" s="75">
        <v>12.50155471223745</v>
      </c>
    </row>
    <row r="123" spans="1:2" x14ac:dyDescent="0.2">
      <c r="A123" s="75">
        <v>19.395515973521519</v>
      </c>
      <c r="B123" s="75">
        <v>17.468861149064239</v>
      </c>
    </row>
    <row r="124" spans="1:2" x14ac:dyDescent="0.2">
      <c r="A124" s="75">
        <v>13.54530627260263</v>
      </c>
      <c r="B124" s="75">
        <v>10.386853342420149</v>
      </c>
    </row>
    <row r="125" spans="1:2" x14ac:dyDescent="0.2">
      <c r="A125" s="75">
        <v>10.701397155468049</v>
      </c>
      <c r="B125" s="75">
        <v>8.4404853769295176</v>
      </c>
    </row>
    <row r="126" spans="1:2" x14ac:dyDescent="0.2">
      <c r="A126" s="75">
        <v>15.299074468603861</v>
      </c>
      <c r="B126" s="75">
        <v>14.009174396923809</v>
      </c>
    </row>
    <row r="127" spans="1:2" x14ac:dyDescent="0.2">
      <c r="A127" s="75">
        <v>17.293428546900131</v>
      </c>
      <c r="B127" s="75">
        <v>9.2136375705009783</v>
      </c>
    </row>
    <row r="128" spans="1:2" x14ac:dyDescent="0.2">
      <c r="A128" s="75">
        <v>17.095227812904991</v>
      </c>
      <c r="B128" s="75">
        <v>11.400859951059839</v>
      </c>
    </row>
    <row r="129" spans="1:2" x14ac:dyDescent="0.2">
      <c r="A129" s="75">
        <v>13.50473183743466</v>
      </c>
      <c r="B129" s="75">
        <v>9.382208674740987</v>
      </c>
    </row>
    <row r="130" spans="1:2" x14ac:dyDescent="0.2">
      <c r="A130" s="75">
        <v>12.71685113519861</v>
      </c>
      <c r="B130" s="75">
        <v>15.245412119003269</v>
      </c>
    </row>
    <row r="131" spans="1:2" x14ac:dyDescent="0.2">
      <c r="A131" s="75">
        <v>6.0498256825438208</v>
      </c>
      <c r="B131" s="75">
        <v>10.295293162971641</v>
      </c>
    </row>
    <row r="132" spans="1:2" x14ac:dyDescent="0.2">
      <c r="A132" s="75">
        <v>14.748262172941899</v>
      </c>
      <c r="B132" s="75">
        <v>16.156358954130209</v>
      </c>
    </row>
    <row r="133" spans="1:2" x14ac:dyDescent="0.2">
      <c r="A133" s="75">
        <v>14.224668284466929</v>
      </c>
      <c r="B133" s="75">
        <v>12.45476762165316</v>
      </c>
    </row>
    <row r="134" spans="1:2" x14ac:dyDescent="0.2">
      <c r="A134" s="75">
        <v>11.03428148740301</v>
      </c>
      <c r="B134" s="75">
        <v>12.67346334045043</v>
      </c>
    </row>
    <row r="135" spans="1:2" x14ac:dyDescent="0.2">
      <c r="A135" s="75">
        <v>13.468848143136951</v>
      </c>
      <c r="B135" s="75">
        <v>10.82115694420458</v>
      </c>
    </row>
    <row r="136" spans="1:2" x14ac:dyDescent="0.2">
      <c r="A136" s="75">
        <v>17.23679621531759</v>
      </c>
      <c r="B136" s="75">
        <v>12.73188943491558</v>
      </c>
    </row>
    <row r="137" spans="1:2" x14ac:dyDescent="0.2">
      <c r="A137" s="75">
        <v>12.540287882883099</v>
      </c>
      <c r="B137" s="75">
        <v>19.82441338022009</v>
      </c>
    </row>
    <row r="138" spans="1:2" x14ac:dyDescent="0.2">
      <c r="A138" s="75">
        <v>15.774967202508771</v>
      </c>
      <c r="B138" s="75">
        <v>14.893513624903189</v>
      </c>
    </row>
    <row r="139" spans="1:2" x14ac:dyDescent="0.2">
      <c r="A139" s="75">
        <v>16.60837335383188</v>
      </c>
      <c r="B139" s="75">
        <v>14.556514450465331</v>
      </c>
    </row>
    <row r="140" spans="1:2" x14ac:dyDescent="0.2">
      <c r="A140" s="75">
        <v>7.8389692418971624</v>
      </c>
      <c r="B140" s="75">
        <v>7.7967387538806321</v>
      </c>
    </row>
    <row r="141" spans="1:2" x14ac:dyDescent="0.2">
      <c r="A141" s="75">
        <v>23.406758608684839</v>
      </c>
      <c r="B141" s="75">
        <v>17.834733444183009</v>
      </c>
    </row>
    <row r="142" spans="1:2" x14ac:dyDescent="0.2">
      <c r="A142" s="75">
        <v>13.384567841783021</v>
      </c>
      <c r="B142" s="75">
        <v>12.893356101163301</v>
      </c>
    </row>
    <row r="143" spans="1:2" x14ac:dyDescent="0.2">
      <c r="A143" s="75">
        <v>14.113729967302071</v>
      </c>
      <c r="B143" s="75">
        <v>15.5245420357002</v>
      </c>
    </row>
    <row r="144" spans="1:2" x14ac:dyDescent="0.2">
      <c r="A144" s="75">
        <v>23.653571377141219</v>
      </c>
      <c r="B144" s="75">
        <v>14.18169340264067</v>
      </c>
    </row>
    <row r="145" spans="1:2" x14ac:dyDescent="0.2">
      <c r="A145" s="75">
        <v>10.196258382719391</v>
      </c>
      <c r="B145" s="75">
        <v>14.312558168005699</v>
      </c>
    </row>
    <row r="146" spans="1:2" x14ac:dyDescent="0.2">
      <c r="A146" s="75">
        <v>9.0923169292661523</v>
      </c>
      <c r="B146" s="75">
        <v>11.50087427952773</v>
      </c>
    </row>
    <row r="147" spans="1:2" x14ac:dyDescent="0.2">
      <c r="A147" s="75">
        <v>9.1299413971242114</v>
      </c>
      <c r="B147" s="75">
        <v>17.7749145544995</v>
      </c>
    </row>
    <row r="148" spans="1:2" x14ac:dyDescent="0.2">
      <c r="A148" s="75">
        <v>8.3909114358886558</v>
      </c>
      <c r="B148" s="75">
        <v>8.485665597558615</v>
      </c>
    </row>
    <row r="149" spans="1:2" x14ac:dyDescent="0.2">
      <c r="A149" s="75">
        <v>19.381524644560962</v>
      </c>
      <c r="B149" s="75">
        <v>14.616172435686179</v>
      </c>
    </row>
    <row r="150" spans="1:2" x14ac:dyDescent="0.2">
      <c r="A150" s="75">
        <v>18.339771693457859</v>
      </c>
      <c r="B150" s="75">
        <v>19.311930955833301</v>
      </c>
    </row>
    <row r="151" spans="1:2" x14ac:dyDescent="0.2">
      <c r="A151" s="75">
        <v>16.26097078280845</v>
      </c>
      <c r="B151" s="75">
        <v>10.46900544142442</v>
      </c>
    </row>
    <row r="152" spans="1:2" x14ac:dyDescent="0.2">
      <c r="A152" s="75">
        <v>12.14849233661659</v>
      </c>
      <c r="B152" s="75">
        <v>13.571360952218731</v>
      </c>
    </row>
    <row r="153" spans="1:2" x14ac:dyDescent="0.2">
      <c r="A153" s="75">
        <v>13.125246425172939</v>
      </c>
      <c r="B153" s="75">
        <v>12.687647522027531</v>
      </c>
    </row>
    <row r="154" spans="1:2" x14ac:dyDescent="0.2">
      <c r="A154" s="75">
        <v>13.17322410474849</v>
      </c>
      <c r="B154" s="75">
        <v>13.07567982151704</v>
      </c>
    </row>
    <row r="155" spans="1:2" x14ac:dyDescent="0.2">
      <c r="A155" s="75">
        <v>19.659987639210751</v>
      </c>
      <c r="B155" s="75">
        <v>13.069917525368069</v>
      </c>
    </row>
    <row r="156" spans="1:2" x14ac:dyDescent="0.2">
      <c r="A156" s="75">
        <v>18.1161268485805</v>
      </c>
      <c r="B156" s="75">
        <v>10.648401876235249</v>
      </c>
    </row>
    <row r="157" spans="1:2" x14ac:dyDescent="0.2">
      <c r="A157" s="75">
        <v>15.146536236649339</v>
      </c>
      <c r="B157" s="75">
        <v>14.52484757594414</v>
      </c>
    </row>
    <row r="158" spans="1:2" x14ac:dyDescent="0.2">
      <c r="A158" s="75">
        <v>12.64282429098682</v>
      </c>
      <c r="B158" s="75">
        <v>11.95510418017397</v>
      </c>
    </row>
    <row r="159" spans="1:2" x14ac:dyDescent="0.2">
      <c r="A159" s="75">
        <v>14.93288725557238</v>
      </c>
      <c r="B159" s="75">
        <v>13.43088248642175</v>
      </c>
    </row>
    <row r="160" spans="1:2" x14ac:dyDescent="0.2">
      <c r="A160" s="75">
        <v>21.236916460455891</v>
      </c>
      <c r="B160" s="75">
        <v>15.75548378516277</v>
      </c>
    </row>
    <row r="161" spans="1:2" x14ac:dyDescent="0.2">
      <c r="A161" s="75">
        <v>12.40434825139867</v>
      </c>
      <c r="B161" s="75">
        <v>10.242459458754769</v>
      </c>
    </row>
    <row r="162" spans="1:2" x14ac:dyDescent="0.2">
      <c r="A162" s="75">
        <v>24.328276804316911</v>
      </c>
      <c r="B162" s="75">
        <v>15.092852559991121</v>
      </c>
    </row>
    <row r="163" spans="1:2" x14ac:dyDescent="0.2">
      <c r="A163" s="75">
        <v>15.51265916488634</v>
      </c>
      <c r="B163" s="75">
        <v>13.391618805698091</v>
      </c>
    </row>
    <row r="164" spans="1:2" x14ac:dyDescent="0.2">
      <c r="A164" s="75">
        <v>12.39354230187123</v>
      </c>
      <c r="B164" s="75">
        <v>12.256417270036311</v>
      </c>
    </row>
    <row r="165" spans="1:2" x14ac:dyDescent="0.2">
      <c r="A165" s="75">
        <v>17.579297789503698</v>
      </c>
      <c r="B165" s="75">
        <v>19.33973760273928</v>
      </c>
    </row>
    <row r="166" spans="1:2" x14ac:dyDescent="0.2">
      <c r="A166" s="75">
        <v>8.5896588408241445</v>
      </c>
      <c r="B166" s="75">
        <v>13.666597849211909</v>
      </c>
    </row>
    <row r="167" spans="1:2" x14ac:dyDescent="0.2">
      <c r="A167" s="75">
        <v>7.4816880646221611</v>
      </c>
      <c r="B167" s="75">
        <v>12.62400762397386</v>
      </c>
    </row>
    <row r="168" spans="1:2" x14ac:dyDescent="0.2">
      <c r="A168" s="75">
        <v>14.206390463468249</v>
      </c>
      <c r="B168" s="75">
        <v>14.81795993977811</v>
      </c>
    </row>
    <row r="169" spans="1:2" x14ac:dyDescent="0.2">
      <c r="A169" s="75">
        <v>13.411030079997239</v>
      </c>
      <c r="B169" s="75">
        <v>10.224654640200299</v>
      </c>
    </row>
    <row r="170" spans="1:2" x14ac:dyDescent="0.2">
      <c r="A170" s="75">
        <v>10.948396491326969</v>
      </c>
      <c r="B170" s="75">
        <v>15.016864536819719</v>
      </c>
    </row>
    <row r="171" spans="1:2" x14ac:dyDescent="0.2">
      <c r="A171" s="75">
        <v>15.877305941998561</v>
      </c>
      <c r="B171" s="75">
        <v>13.5767790708205</v>
      </c>
    </row>
    <row r="172" spans="1:2" x14ac:dyDescent="0.2">
      <c r="A172" s="75">
        <v>16.623131917821251</v>
      </c>
      <c r="B172" s="75">
        <v>18.429304238668081</v>
      </c>
    </row>
    <row r="173" spans="1:2" x14ac:dyDescent="0.2">
      <c r="A173" s="75">
        <v>12.555242785187239</v>
      </c>
      <c r="B173" s="75">
        <v>14.71801004901179</v>
      </c>
    </row>
    <row r="174" spans="1:2" x14ac:dyDescent="0.2">
      <c r="A174" s="75">
        <v>12.59209485751728</v>
      </c>
      <c r="B174" s="75">
        <v>18.7667016854206</v>
      </c>
    </row>
    <row r="175" spans="1:2" x14ac:dyDescent="0.2">
      <c r="A175" s="75">
        <v>17.961449145292949</v>
      </c>
      <c r="B175" s="75">
        <v>17.432208229196821</v>
      </c>
    </row>
    <row r="176" spans="1:2" x14ac:dyDescent="0.2">
      <c r="A176" s="75">
        <v>14.17057598740832</v>
      </c>
      <c r="B176" s="75">
        <v>17.702897190276499</v>
      </c>
    </row>
    <row r="177" spans="1:2" x14ac:dyDescent="0.2">
      <c r="A177" s="75">
        <v>9.1383453996650097</v>
      </c>
      <c r="B177" s="75">
        <v>11.15677986477284</v>
      </c>
    </row>
    <row r="178" spans="1:2" x14ac:dyDescent="0.2">
      <c r="A178" s="75">
        <v>7.4135916245180118</v>
      </c>
      <c r="B178" s="75">
        <v>8.3635787739213399</v>
      </c>
    </row>
    <row r="179" spans="1:2" x14ac:dyDescent="0.2">
      <c r="A179" s="75">
        <v>9.0065009459389529</v>
      </c>
      <c r="B179" s="75">
        <v>9.8859895735005967</v>
      </c>
    </row>
    <row r="180" spans="1:2" x14ac:dyDescent="0.2">
      <c r="A180" s="75">
        <v>18.726767038578661</v>
      </c>
      <c r="B180" s="75">
        <v>12.11636004185528</v>
      </c>
    </row>
    <row r="181" spans="1:2" x14ac:dyDescent="0.2">
      <c r="A181" s="75">
        <v>24.867671583381021</v>
      </c>
      <c r="B181" s="75">
        <v>16.111705997573811</v>
      </c>
    </row>
    <row r="182" spans="1:2" x14ac:dyDescent="0.2">
      <c r="A182" s="75">
        <v>9.3600845832948103</v>
      </c>
      <c r="B182" s="75">
        <v>15.42393892409355</v>
      </c>
    </row>
    <row r="183" spans="1:2" x14ac:dyDescent="0.2">
      <c r="A183" s="75">
        <v>16.312833673882501</v>
      </c>
      <c r="B183" s="75">
        <v>22.449473364547892</v>
      </c>
    </row>
    <row r="184" spans="1:2" x14ac:dyDescent="0.2">
      <c r="A184" s="75">
        <v>13.57142122179186</v>
      </c>
      <c r="B184" s="75">
        <v>11.86772619371134</v>
      </c>
    </row>
    <row r="185" spans="1:2" x14ac:dyDescent="0.2">
      <c r="A185" s="75">
        <v>5.4645537509694444</v>
      </c>
      <c r="B185" s="75">
        <v>9.2099137871603993</v>
      </c>
    </row>
    <row r="186" spans="1:2" x14ac:dyDescent="0.2">
      <c r="A186" s="75">
        <v>14.24123620762159</v>
      </c>
      <c r="B186" s="75">
        <v>16.072799401406179</v>
      </c>
    </row>
    <row r="187" spans="1:2" x14ac:dyDescent="0.2">
      <c r="A187" s="75">
        <v>11.88826860733707</v>
      </c>
      <c r="B187" s="75">
        <v>9.4077383272876762</v>
      </c>
    </row>
    <row r="188" spans="1:2" x14ac:dyDescent="0.2">
      <c r="A188" s="75">
        <v>15.35700024704605</v>
      </c>
      <c r="B188" s="75">
        <v>15.18444788047703</v>
      </c>
    </row>
    <row r="189" spans="1:2" x14ac:dyDescent="0.2">
      <c r="A189" s="75">
        <v>16.236618812286771</v>
      </c>
      <c r="B189" s="75">
        <v>11.922808079836431</v>
      </c>
    </row>
    <row r="190" spans="1:2" x14ac:dyDescent="0.2">
      <c r="A190" s="75">
        <v>16.963585543671559</v>
      </c>
      <c r="B190" s="75">
        <v>15.234096367325551</v>
      </c>
    </row>
    <row r="191" spans="1:2" x14ac:dyDescent="0.2">
      <c r="A191" s="75">
        <v>12.576603140965799</v>
      </c>
      <c r="B191" s="75">
        <v>15.60885032699257</v>
      </c>
    </row>
    <row r="192" spans="1:2" x14ac:dyDescent="0.2">
      <c r="A192" s="75">
        <v>16.242576387657071</v>
      </c>
      <c r="B192" s="75">
        <v>12.12390774916199</v>
      </c>
    </row>
    <row r="193" spans="1:2" x14ac:dyDescent="0.2">
      <c r="A193" s="75">
        <v>20.77674252396649</v>
      </c>
      <c r="B193" s="75">
        <v>16.782294076875068</v>
      </c>
    </row>
    <row r="194" spans="1:2" x14ac:dyDescent="0.2">
      <c r="A194" s="75">
        <v>23.428199397161741</v>
      </c>
      <c r="B194" s="75">
        <v>17.048536158812219</v>
      </c>
    </row>
    <row r="195" spans="1:2" x14ac:dyDescent="0.2">
      <c r="A195" s="75">
        <v>16.107046872065101</v>
      </c>
      <c r="B195" s="75">
        <v>7.1744570572497341</v>
      </c>
    </row>
    <row r="196" spans="1:2" x14ac:dyDescent="0.2">
      <c r="A196" s="75">
        <v>21.377130610644009</v>
      </c>
      <c r="B196" s="75">
        <v>14.279561608611861</v>
      </c>
    </row>
    <row r="197" spans="1:2" x14ac:dyDescent="0.2">
      <c r="A197" s="75">
        <v>6.0865904629255914</v>
      </c>
      <c r="B197" s="75">
        <v>5.7217608074918491</v>
      </c>
    </row>
    <row r="198" spans="1:2" x14ac:dyDescent="0.2">
      <c r="A198" s="75">
        <v>13.19265868986442</v>
      </c>
      <c r="B198" s="75">
        <v>17.14733127712698</v>
      </c>
    </row>
    <row r="199" spans="1:2" x14ac:dyDescent="0.2">
      <c r="A199" s="75">
        <v>15.55807128189943</v>
      </c>
      <c r="B199" s="75">
        <v>13.74760773170124</v>
      </c>
    </row>
    <row r="200" spans="1:2" x14ac:dyDescent="0.2">
      <c r="A200" s="75">
        <v>19.076862552972759</v>
      </c>
      <c r="B200" s="75">
        <v>18.46693843136898</v>
      </c>
    </row>
    <row r="201" spans="1:2" x14ac:dyDescent="0.2">
      <c r="A201" s="75">
        <v>14.029104359223</v>
      </c>
      <c r="B201" s="75">
        <v>7.3066140165917606</v>
      </c>
    </row>
    <row r="202" spans="1:2" x14ac:dyDescent="0.2">
      <c r="A202" s="75">
        <v>19.428514851084689</v>
      </c>
      <c r="B202" s="75">
        <v>12.23218928376</v>
      </c>
    </row>
    <row r="203" spans="1:2" x14ac:dyDescent="0.2">
      <c r="A203" s="75">
        <v>18.178893680174141</v>
      </c>
      <c r="B203" s="75">
        <v>14.29639386071025</v>
      </c>
    </row>
    <row r="204" spans="1:2" x14ac:dyDescent="0.2">
      <c r="A204" s="75">
        <v>10.280392263184121</v>
      </c>
      <c r="B204" s="75">
        <v>7.6205587555453418</v>
      </c>
    </row>
    <row r="205" spans="1:2" x14ac:dyDescent="0.2">
      <c r="A205" s="75">
        <v>16.541525621587638</v>
      </c>
      <c r="B205" s="75">
        <v>18.898490406192561</v>
      </c>
    </row>
    <row r="206" spans="1:2" x14ac:dyDescent="0.2">
      <c r="A206" s="75">
        <v>19.526901026017448</v>
      </c>
      <c r="B206" s="75">
        <v>17.27027384743247</v>
      </c>
    </row>
    <row r="207" spans="1:2" x14ac:dyDescent="0.2">
      <c r="A207" s="75">
        <v>10.31116531602146</v>
      </c>
      <c r="B207" s="75">
        <v>13.448450906094591</v>
      </c>
    </row>
    <row r="208" spans="1:2" x14ac:dyDescent="0.2">
      <c r="A208" s="75">
        <v>12.531087480042441</v>
      </c>
      <c r="B208" s="75">
        <v>12.97237544123495</v>
      </c>
    </row>
    <row r="209" spans="1:2" x14ac:dyDescent="0.2">
      <c r="A209" s="75">
        <v>14.25751763360433</v>
      </c>
      <c r="B209" s="75">
        <v>11.595320719803</v>
      </c>
    </row>
    <row r="210" spans="1:2" x14ac:dyDescent="0.2">
      <c r="A210" s="75">
        <v>16.2568929754561</v>
      </c>
      <c r="B210" s="75">
        <v>9.1696915503658083</v>
      </c>
    </row>
    <row r="211" spans="1:2" x14ac:dyDescent="0.2">
      <c r="A211" s="75">
        <v>12.25752384315302</v>
      </c>
      <c r="B211" s="75">
        <v>16.448336738348701</v>
      </c>
    </row>
    <row r="212" spans="1:2" x14ac:dyDescent="0.2">
      <c r="A212" s="75">
        <v>15.926365745327359</v>
      </c>
      <c r="B212" s="75">
        <v>18.591826771959031</v>
      </c>
    </row>
    <row r="213" spans="1:2" x14ac:dyDescent="0.2">
      <c r="A213" s="75">
        <v>11.28544525534658</v>
      </c>
      <c r="B213" s="75">
        <v>11.157780762989439</v>
      </c>
    </row>
    <row r="214" spans="1:2" x14ac:dyDescent="0.2">
      <c r="A214" s="75">
        <v>16.567782820090301</v>
      </c>
      <c r="B214" s="75">
        <v>13.972835298955481</v>
      </c>
    </row>
    <row r="215" spans="1:2" x14ac:dyDescent="0.2">
      <c r="A215" s="75">
        <v>16.477000881746601</v>
      </c>
      <c r="B215" s="75">
        <v>12.58964047567537</v>
      </c>
    </row>
    <row r="216" spans="1:2" x14ac:dyDescent="0.2">
      <c r="A216" s="75">
        <v>13.3256956256529</v>
      </c>
      <c r="B216" s="75">
        <v>14.371658607281841</v>
      </c>
    </row>
    <row r="217" spans="1:2" x14ac:dyDescent="0.2">
      <c r="A217" s="75">
        <v>16.84236537767983</v>
      </c>
      <c r="B217" s="75">
        <v>16.170774142705081</v>
      </c>
    </row>
    <row r="218" spans="1:2" x14ac:dyDescent="0.2">
      <c r="A218" s="75">
        <v>10.37948461024663</v>
      </c>
      <c r="B218" s="75">
        <v>15.19947896214626</v>
      </c>
    </row>
    <row r="219" spans="1:2" x14ac:dyDescent="0.2">
      <c r="A219" s="75">
        <v>11.61358739273121</v>
      </c>
      <c r="B219" s="75">
        <v>8.650185209567935</v>
      </c>
    </row>
    <row r="220" spans="1:2" x14ac:dyDescent="0.2">
      <c r="A220" s="75">
        <v>12.881590696629999</v>
      </c>
      <c r="B220" s="75">
        <v>14.669874883324381</v>
      </c>
    </row>
    <row r="221" spans="1:2" x14ac:dyDescent="0.2">
      <c r="A221" s="75">
        <v>14.757318226085451</v>
      </c>
      <c r="B221" s="75">
        <v>8.7653389998218803</v>
      </c>
    </row>
    <row r="222" spans="1:2" x14ac:dyDescent="0.2">
      <c r="A222" s="75">
        <v>9.040937069693161</v>
      </c>
      <c r="B222" s="75">
        <v>8.3133680659232727</v>
      </c>
    </row>
    <row r="223" spans="1:2" x14ac:dyDescent="0.2">
      <c r="A223" s="75">
        <v>7.1573292833367539</v>
      </c>
      <c r="B223" s="75">
        <v>12.95691997258618</v>
      </c>
    </row>
    <row r="224" spans="1:2" x14ac:dyDescent="0.2">
      <c r="A224" s="75">
        <v>13.066367403704129</v>
      </c>
      <c r="B224" s="75">
        <v>11.553318371481801</v>
      </c>
    </row>
    <row r="225" spans="1:2" x14ac:dyDescent="0.2">
      <c r="A225" s="75">
        <v>19.343130095187259</v>
      </c>
      <c r="B225" s="75">
        <v>12.71514515241282</v>
      </c>
    </row>
    <row r="226" spans="1:2" x14ac:dyDescent="0.2">
      <c r="A226" s="75">
        <v>11.19364206440518</v>
      </c>
      <c r="B226" s="75">
        <v>15.621098845933281</v>
      </c>
    </row>
    <row r="227" spans="1:2" x14ac:dyDescent="0.2">
      <c r="A227" s="75">
        <v>9.7640340671052837</v>
      </c>
      <c r="B227" s="75">
        <v>14.052133215763879</v>
      </c>
    </row>
    <row r="228" spans="1:2" x14ac:dyDescent="0.2">
      <c r="A228" s="75">
        <v>18.544475298483679</v>
      </c>
      <c r="B228" s="75">
        <v>11.59008203691287</v>
      </c>
    </row>
    <row r="229" spans="1:2" x14ac:dyDescent="0.2">
      <c r="A229" s="75">
        <v>17.032140009547732</v>
      </c>
      <c r="B229" s="75">
        <v>3.0052545539187729</v>
      </c>
    </row>
    <row r="230" spans="1:2" x14ac:dyDescent="0.2">
      <c r="A230" s="75">
        <v>17.461127611035351</v>
      </c>
      <c r="B230" s="75">
        <v>11.136391050571451</v>
      </c>
    </row>
    <row r="231" spans="1:2" x14ac:dyDescent="0.2">
      <c r="A231" s="75">
        <v>12.64234814537002</v>
      </c>
      <c r="B231" s="75">
        <v>15.353077633484091</v>
      </c>
    </row>
    <row r="232" spans="1:2" x14ac:dyDescent="0.2">
      <c r="A232" s="75">
        <v>20.339798874467341</v>
      </c>
      <c r="B232" s="75">
        <v>17.623771690471759</v>
      </c>
    </row>
    <row r="233" spans="1:2" x14ac:dyDescent="0.2">
      <c r="A233" s="75">
        <v>12.63481668414143</v>
      </c>
      <c r="B233" s="75">
        <v>14.824961768667629</v>
      </c>
    </row>
    <row r="234" spans="1:2" x14ac:dyDescent="0.2">
      <c r="A234" s="75">
        <v>13.10822929479099</v>
      </c>
      <c r="B234" s="75">
        <v>12.741144868290631</v>
      </c>
    </row>
    <row r="235" spans="1:2" x14ac:dyDescent="0.2">
      <c r="A235" s="75">
        <v>18.022785919951911</v>
      </c>
      <c r="B235" s="75">
        <v>11.590903801834511</v>
      </c>
    </row>
    <row r="236" spans="1:2" x14ac:dyDescent="0.2">
      <c r="A236" s="75">
        <v>20.674199826197089</v>
      </c>
      <c r="B236" s="75">
        <v>15.957554632655601</v>
      </c>
    </row>
    <row r="237" spans="1:2" x14ac:dyDescent="0.2">
      <c r="A237" s="75">
        <v>11.07197204466266</v>
      </c>
      <c r="B237" s="75">
        <v>11.89158378153048</v>
      </c>
    </row>
    <row r="238" spans="1:2" x14ac:dyDescent="0.2">
      <c r="A238" s="75">
        <v>18.316959511159009</v>
      </c>
      <c r="B238" s="75">
        <v>14.105486130637059</v>
      </c>
    </row>
    <row r="239" spans="1:2" x14ac:dyDescent="0.2">
      <c r="A239" s="75">
        <v>16.987428706671199</v>
      </c>
      <c r="B239" s="75">
        <v>16.408711015399739</v>
      </c>
    </row>
    <row r="240" spans="1:2" x14ac:dyDescent="0.2">
      <c r="A240" s="75">
        <v>15.09322715738471</v>
      </c>
      <c r="B240" s="75">
        <v>15.60553488681248</v>
      </c>
    </row>
    <row r="241" spans="1:2" x14ac:dyDescent="0.2">
      <c r="A241" s="75">
        <v>12.66910676761581</v>
      </c>
      <c r="B241" s="75">
        <v>12.41107135303216</v>
      </c>
    </row>
    <row r="242" spans="1:2" x14ac:dyDescent="0.2">
      <c r="A242" s="75">
        <v>21.426216667398108</v>
      </c>
      <c r="B242" s="75">
        <v>15.780962394058269</v>
      </c>
    </row>
    <row r="243" spans="1:2" x14ac:dyDescent="0.2">
      <c r="A243" s="75">
        <v>13.60373963078365</v>
      </c>
      <c r="B243" s="75">
        <v>12.92099229096441</v>
      </c>
    </row>
    <row r="244" spans="1:2" x14ac:dyDescent="0.2">
      <c r="A244" s="75">
        <v>11.94263177926655</v>
      </c>
      <c r="B244" s="75">
        <v>15.111929896996079</v>
      </c>
    </row>
    <row r="245" spans="1:2" x14ac:dyDescent="0.2">
      <c r="A245" s="75">
        <v>12.252493639490231</v>
      </c>
      <c r="B245" s="75">
        <v>17.139588115991881</v>
      </c>
    </row>
    <row r="246" spans="1:2" x14ac:dyDescent="0.2">
      <c r="A246" s="75">
        <v>22.43287759708506</v>
      </c>
      <c r="B246" s="75">
        <v>18.077021935919529</v>
      </c>
    </row>
    <row r="247" spans="1:2" x14ac:dyDescent="0.2">
      <c r="A247" s="75">
        <v>18.39985179647211</v>
      </c>
      <c r="B247" s="75">
        <v>13.205001542880639</v>
      </c>
    </row>
    <row r="248" spans="1:2" x14ac:dyDescent="0.2">
      <c r="A248" s="75">
        <v>20.83274938207953</v>
      </c>
      <c r="B248" s="75">
        <v>16.41049876970343</v>
      </c>
    </row>
    <row r="249" spans="1:2" x14ac:dyDescent="0.2">
      <c r="A249" s="75">
        <v>12.762527344419521</v>
      </c>
      <c r="B249" s="75">
        <v>9.9863709284476005</v>
      </c>
    </row>
    <row r="250" spans="1:2" x14ac:dyDescent="0.2">
      <c r="A250" s="75">
        <v>11.673335383713139</v>
      </c>
      <c r="B250" s="75">
        <v>10.27809612523933</v>
      </c>
    </row>
    <row r="251" spans="1:2" x14ac:dyDescent="0.2">
      <c r="A251" s="75">
        <v>14.882727120140551</v>
      </c>
      <c r="B251" s="75">
        <v>11.11449502615293</v>
      </c>
    </row>
    <row r="252" spans="1:2" x14ac:dyDescent="0.2">
      <c r="A252" s="75">
        <v>10.20249085548048</v>
      </c>
      <c r="B252" s="75">
        <v>15.52473324927319</v>
      </c>
    </row>
    <row r="253" spans="1:2" x14ac:dyDescent="0.2">
      <c r="A253" s="75">
        <v>22.369558022832479</v>
      </c>
      <c r="B253" s="75">
        <v>17.339900653426739</v>
      </c>
    </row>
    <row r="254" spans="1:2" x14ac:dyDescent="0.2">
      <c r="A254" s="75">
        <v>15.458930973527391</v>
      </c>
      <c r="B254" s="75">
        <v>13.68962559377943</v>
      </c>
    </row>
    <row r="255" spans="1:2" x14ac:dyDescent="0.2">
      <c r="A255" s="75">
        <v>26.061078098506322</v>
      </c>
      <c r="B255" s="75">
        <v>17.547493797688219</v>
      </c>
    </row>
    <row r="256" spans="1:2" x14ac:dyDescent="0.2">
      <c r="A256" s="75">
        <v>15.516232630275571</v>
      </c>
      <c r="B256" s="75">
        <v>13.933968741826829</v>
      </c>
    </row>
    <row r="257" spans="1:2" x14ac:dyDescent="0.2">
      <c r="A257" s="75">
        <v>11.24031501702299</v>
      </c>
      <c r="B257" s="75">
        <v>15.045733601965001</v>
      </c>
    </row>
    <row r="258" spans="1:2" x14ac:dyDescent="0.2">
      <c r="A258" s="75">
        <v>15.757882963566869</v>
      </c>
      <c r="B258" s="75">
        <v>8.1179702546868704</v>
      </c>
    </row>
    <row r="259" spans="1:2" x14ac:dyDescent="0.2">
      <c r="A259" s="75">
        <v>7.6334555745933113</v>
      </c>
      <c r="B259" s="75">
        <v>10.37135575041046</v>
      </c>
    </row>
    <row r="260" spans="1:2" x14ac:dyDescent="0.2">
      <c r="A260" s="75">
        <v>20.646165267190611</v>
      </c>
      <c r="B260" s="75">
        <v>17.008002809339899</v>
      </c>
    </row>
    <row r="261" spans="1:2" x14ac:dyDescent="0.2">
      <c r="A261" s="75">
        <v>10.22190971407311</v>
      </c>
      <c r="B261" s="75">
        <v>12.3219200052316</v>
      </c>
    </row>
    <row r="262" spans="1:2" x14ac:dyDescent="0.2">
      <c r="A262" s="75">
        <v>17.387317026714669</v>
      </c>
      <c r="B262" s="75">
        <v>11.62332668179614</v>
      </c>
    </row>
    <row r="263" spans="1:2" x14ac:dyDescent="0.2">
      <c r="A263" s="75">
        <v>11.536534764210961</v>
      </c>
      <c r="B263" s="75">
        <v>16.136270958977331</v>
      </c>
    </row>
    <row r="264" spans="1:2" x14ac:dyDescent="0.2">
      <c r="A264" s="75">
        <v>12.970237321969099</v>
      </c>
      <c r="B264" s="75">
        <v>13.151274802202931</v>
      </c>
    </row>
    <row r="265" spans="1:2" x14ac:dyDescent="0.2">
      <c r="A265" s="75">
        <v>15.37936632996546</v>
      </c>
      <c r="B265" s="75">
        <v>17.243524077586098</v>
      </c>
    </row>
    <row r="266" spans="1:2" x14ac:dyDescent="0.2">
      <c r="A266" s="75">
        <v>8.4878061793328552</v>
      </c>
      <c r="B266" s="75">
        <v>10.116153266875759</v>
      </c>
    </row>
    <row r="267" spans="1:2" x14ac:dyDescent="0.2">
      <c r="A267" s="75">
        <v>12.87371592430342</v>
      </c>
      <c r="B267" s="75">
        <v>15.346063839118081</v>
      </c>
    </row>
    <row r="268" spans="1:2" x14ac:dyDescent="0.2">
      <c r="A268" s="75">
        <v>16.376108409017579</v>
      </c>
      <c r="B268" s="75">
        <v>14.69438628509203</v>
      </c>
    </row>
    <row r="269" spans="1:2" x14ac:dyDescent="0.2">
      <c r="A269" s="75">
        <v>15.81620565196582</v>
      </c>
      <c r="B269" s="75">
        <v>15.4439708080715</v>
      </c>
    </row>
    <row r="270" spans="1:2" x14ac:dyDescent="0.2">
      <c r="A270" s="75">
        <v>16.284929311019681</v>
      </c>
      <c r="B270" s="75">
        <v>12.949059471848781</v>
      </c>
    </row>
    <row r="271" spans="1:2" x14ac:dyDescent="0.2">
      <c r="A271" s="75">
        <v>16.779977756651508</v>
      </c>
      <c r="B271" s="75">
        <v>12.58318570885109</v>
      </c>
    </row>
    <row r="272" spans="1:2" x14ac:dyDescent="0.2">
      <c r="A272" s="75">
        <v>22.065370288643049</v>
      </c>
      <c r="B272" s="75">
        <v>18.885335667289219</v>
      </c>
    </row>
    <row r="273" spans="1:2" x14ac:dyDescent="0.2">
      <c r="A273" s="75">
        <v>13.720636644533061</v>
      </c>
      <c r="B273" s="75">
        <v>14.10632864884054</v>
      </c>
    </row>
    <row r="274" spans="1:2" x14ac:dyDescent="0.2">
      <c r="A274" s="75">
        <v>11.282068924410281</v>
      </c>
      <c r="B274" s="75">
        <v>8.8369622790465954</v>
      </c>
    </row>
    <row r="275" spans="1:2" x14ac:dyDescent="0.2">
      <c r="A275" s="75">
        <v>19.581581876077479</v>
      </c>
      <c r="B275" s="75">
        <v>14.95272548672196</v>
      </c>
    </row>
    <row r="276" spans="1:2" x14ac:dyDescent="0.2">
      <c r="A276" s="75">
        <v>15.00511653050979</v>
      </c>
      <c r="B276" s="75">
        <v>14.476589567222449</v>
      </c>
    </row>
    <row r="277" spans="1:2" x14ac:dyDescent="0.2">
      <c r="A277" s="75">
        <v>20.50924567447602</v>
      </c>
      <c r="B277" s="75">
        <v>9.1898445612457245</v>
      </c>
    </row>
    <row r="278" spans="1:2" x14ac:dyDescent="0.2">
      <c r="A278" s="75">
        <v>13.231051737131629</v>
      </c>
      <c r="B278" s="75">
        <v>15.96806572134439</v>
      </c>
    </row>
    <row r="279" spans="1:2" x14ac:dyDescent="0.2">
      <c r="A279" s="75">
        <v>17.09952984778673</v>
      </c>
      <c r="B279" s="75">
        <v>14.42226723893422</v>
      </c>
    </row>
    <row r="280" spans="1:2" x14ac:dyDescent="0.2">
      <c r="A280" s="75">
        <v>15.6998915614206</v>
      </c>
      <c r="B280" s="75">
        <v>15.146096053813441</v>
      </c>
    </row>
    <row r="281" spans="1:2" x14ac:dyDescent="0.2">
      <c r="A281" s="75">
        <v>9.0349010424950098</v>
      </c>
      <c r="B281" s="75">
        <v>15.07273054217332</v>
      </c>
    </row>
    <row r="282" spans="1:2" x14ac:dyDescent="0.2">
      <c r="A282" s="75">
        <v>14.80734320156912</v>
      </c>
      <c r="B282" s="75">
        <v>13.475575098213509</v>
      </c>
    </row>
    <row r="283" spans="1:2" x14ac:dyDescent="0.2">
      <c r="A283" s="75">
        <v>17.05675867262562</v>
      </c>
      <c r="B283" s="75">
        <v>12.277574427332761</v>
      </c>
    </row>
    <row r="284" spans="1:2" x14ac:dyDescent="0.2">
      <c r="A284" s="75">
        <v>18.331065337260519</v>
      </c>
      <c r="B284" s="75">
        <v>10.12156315858414</v>
      </c>
    </row>
    <row r="285" spans="1:2" x14ac:dyDescent="0.2">
      <c r="A285" s="75">
        <v>13.79300840807268</v>
      </c>
      <c r="B285" s="75">
        <v>14.963144831936759</v>
      </c>
    </row>
    <row r="286" spans="1:2" x14ac:dyDescent="0.2">
      <c r="A286" s="75">
        <v>16.38109225058658</v>
      </c>
      <c r="B286" s="75">
        <v>18.04273469366494</v>
      </c>
    </row>
    <row r="287" spans="1:2" x14ac:dyDescent="0.2">
      <c r="A287" s="75">
        <v>10.06651668732813</v>
      </c>
      <c r="B287" s="75">
        <v>7.2920266539287484</v>
      </c>
    </row>
    <row r="288" spans="1:2" x14ac:dyDescent="0.2">
      <c r="A288" s="75">
        <v>11.023956100238751</v>
      </c>
      <c r="B288" s="75">
        <v>12.38286670937997</v>
      </c>
    </row>
    <row r="289" spans="1:2" x14ac:dyDescent="0.2">
      <c r="A289" s="75">
        <v>20.924107452482211</v>
      </c>
      <c r="B289" s="75">
        <v>13.15709877568721</v>
      </c>
    </row>
    <row r="290" spans="1:2" x14ac:dyDescent="0.2">
      <c r="A290" s="75">
        <v>19.294158603242291</v>
      </c>
      <c r="B290" s="75">
        <v>13.69327463099668</v>
      </c>
    </row>
    <row r="291" spans="1:2" x14ac:dyDescent="0.2">
      <c r="A291" s="75">
        <v>16.14049593386752</v>
      </c>
      <c r="B291" s="75">
        <v>16.519262814544849</v>
      </c>
    </row>
    <row r="292" spans="1:2" x14ac:dyDescent="0.2">
      <c r="A292" s="75">
        <v>10.6886502400897</v>
      </c>
      <c r="B292" s="75">
        <v>16.679256566181731</v>
      </c>
    </row>
    <row r="293" spans="1:2" x14ac:dyDescent="0.2">
      <c r="A293" s="75">
        <v>11.895938874821359</v>
      </c>
      <c r="B293" s="75">
        <v>13.451956657493749</v>
      </c>
    </row>
    <row r="294" spans="1:2" x14ac:dyDescent="0.2">
      <c r="A294" s="75">
        <v>16.753499532670581</v>
      </c>
      <c r="B294" s="75">
        <v>18.587890424085479</v>
      </c>
    </row>
    <row r="295" spans="1:2" x14ac:dyDescent="0.2">
      <c r="A295" s="75">
        <v>20.70531762152789</v>
      </c>
      <c r="B295" s="75">
        <v>15.587223724541071</v>
      </c>
    </row>
    <row r="296" spans="1:2" x14ac:dyDescent="0.2">
      <c r="A296" s="75">
        <v>12.42480104851051</v>
      </c>
      <c r="B296" s="75">
        <v>11.26375835302739</v>
      </c>
    </row>
    <row r="297" spans="1:2" x14ac:dyDescent="0.2">
      <c r="A297" s="75">
        <v>20.178507742982529</v>
      </c>
      <c r="B297" s="75">
        <v>16.728695129807871</v>
      </c>
    </row>
    <row r="298" spans="1:2" x14ac:dyDescent="0.2">
      <c r="A298" s="75">
        <v>10.653545202369671</v>
      </c>
      <c r="B298" s="75">
        <v>11.16648624823911</v>
      </c>
    </row>
    <row r="299" spans="1:2" x14ac:dyDescent="0.2">
      <c r="A299" s="75">
        <v>22.44979993771663</v>
      </c>
      <c r="B299" s="75">
        <v>15.160143663267281</v>
      </c>
    </row>
    <row r="300" spans="1:2" x14ac:dyDescent="0.2">
      <c r="A300" s="75">
        <v>16.153649760438309</v>
      </c>
      <c r="B300" s="75">
        <v>17.474562880150891</v>
      </c>
    </row>
    <row r="301" spans="1:2" x14ac:dyDescent="0.2">
      <c r="A301" s="75">
        <v>10.40643105941948</v>
      </c>
      <c r="B301" s="75">
        <v>14.49154026034563</v>
      </c>
    </row>
    <row r="302" spans="1:2" x14ac:dyDescent="0.2">
      <c r="A302" s="75">
        <v>20.31481442096181</v>
      </c>
      <c r="B302" s="75">
        <v>15.75415058341151</v>
      </c>
    </row>
    <row r="303" spans="1:2" x14ac:dyDescent="0.2">
      <c r="A303" s="75">
        <v>16.585502494538961</v>
      </c>
      <c r="B303" s="75">
        <v>11.15691405960847</v>
      </c>
    </row>
    <row r="304" spans="1:2" x14ac:dyDescent="0.2">
      <c r="A304" s="75">
        <v>12.719909479901521</v>
      </c>
      <c r="B304" s="75">
        <v>11.161503755304119</v>
      </c>
    </row>
    <row r="305" spans="1:2" x14ac:dyDescent="0.2">
      <c r="A305" s="75">
        <v>15.37364680256163</v>
      </c>
      <c r="B305" s="75">
        <v>12.39247495112037</v>
      </c>
    </row>
    <row r="306" spans="1:2" x14ac:dyDescent="0.2">
      <c r="A306" s="75">
        <v>19.30518513271673</v>
      </c>
      <c r="B306" s="75">
        <v>13.24057058571961</v>
      </c>
    </row>
    <row r="307" spans="1:2" x14ac:dyDescent="0.2">
      <c r="A307" s="75">
        <v>16.98954920301793</v>
      </c>
      <c r="B307" s="75">
        <v>13.88661646673977</v>
      </c>
    </row>
    <row r="308" spans="1:2" x14ac:dyDescent="0.2">
      <c r="A308" s="75">
        <v>21.058663691654392</v>
      </c>
      <c r="B308" s="75">
        <v>14.46676739518535</v>
      </c>
    </row>
    <row r="309" spans="1:2" x14ac:dyDescent="0.2">
      <c r="A309" s="75">
        <v>13.63883244789421</v>
      </c>
      <c r="B309" s="75">
        <v>13.1674539797813</v>
      </c>
    </row>
    <row r="310" spans="1:2" x14ac:dyDescent="0.2">
      <c r="A310" s="75">
        <v>15.704214305582081</v>
      </c>
      <c r="B310" s="75">
        <v>16.856043716951859</v>
      </c>
    </row>
    <row r="311" spans="1:2" x14ac:dyDescent="0.2">
      <c r="A311" s="75">
        <v>15.27354869058502</v>
      </c>
      <c r="B311" s="75">
        <v>13.31682280797399</v>
      </c>
    </row>
    <row r="312" spans="1:2" x14ac:dyDescent="0.2">
      <c r="A312" s="75">
        <v>11.89890367378305</v>
      </c>
      <c r="B312" s="75">
        <v>11.012378368812071</v>
      </c>
    </row>
    <row r="313" spans="1:2" x14ac:dyDescent="0.2">
      <c r="A313" s="75">
        <v>3.8911593983863901</v>
      </c>
      <c r="B313" s="75">
        <v>10.01700108016588</v>
      </c>
    </row>
    <row r="314" spans="1:2" x14ac:dyDescent="0.2">
      <c r="A314" s="75">
        <v>19.549388425993591</v>
      </c>
      <c r="B314" s="75">
        <v>18.738651022415819</v>
      </c>
    </row>
    <row r="315" spans="1:2" x14ac:dyDescent="0.2">
      <c r="A315" s="75">
        <v>10.412708174494011</v>
      </c>
      <c r="B315" s="75">
        <v>12.668379203789041</v>
      </c>
    </row>
    <row r="316" spans="1:2" x14ac:dyDescent="0.2">
      <c r="A316" s="75">
        <v>18.406754818000319</v>
      </c>
      <c r="B316" s="75">
        <v>14.898181097920149</v>
      </c>
    </row>
    <row r="317" spans="1:2" x14ac:dyDescent="0.2">
      <c r="A317" s="75">
        <v>16.652739403577161</v>
      </c>
      <c r="B317" s="75">
        <v>10.51273376444491</v>
      </c>
    </row>
    <row r="318" spans="1:2" x14ac:dyDescent="0.2">
      <c r="A318" s="75">
        <v>7.0105019208163792</v>
      </c>
      <c r="B318" s="75">
        <v>11.280425724683971</v>
      </c>
    </row>
    <row r="319" spans="1:2" x14ac:dyDescent="0.2">
      <c r="A319" s="75">
        <v>15.340976485647481</v>
      </c>
      <c r="B319" s="75">
        <v>16.70296377278223</v>
      </c>
    </row>
    <row r="320" spans="1:2" x14ac:dyDescent="0.2">
      <c r="A320" s="75">
        <v>14.84486662170327</v>
      </c>
      <c r="B320" s="75">
        <v>14.933722650572021</v>
      </c>
    </row>
    <row r="321" spans="1:2" x14ac:dyDescent="0.2">
      <c r="A321" s="75">
        <v>19.16208317624422</v>
      </c>
      <c r="B321" s="75">
        <v>11.5686776944464</v>
      </c>
    </row>
    <row r="322" spans="1:2" x14ac:dyDescent="0.2">
      <c r="A322" s="75">
        <v>13.934928472816161</v>
      </c>
      <c r="B322" s="75">
        <v>11.935721789272449</v>
      </c>
    </row>
    <row r="323" spans="1:2" x14ac:dyDescent="0.2">
      <c r="A323" s="75">
        <v>19.048497982496361</v>
      </c>
      <c r="B323" s="75">
        <v>18.852906084073641</v>
      </c>
    </row>
    <row r="324" spans="1:2" x14ac:dyDescent="0.2">
      <c r="A324" s="75">
        <v>14.297578512718459</v>
      </c>
      <c r="B324" s="75">
        <v>8.8093833328945621</v>
      </c>
    </row>
    <row r="325" spans="1:2" x14ac:dyDescent="0.2">
      <c r="A325" s="75">
        <v>9.5908896583832632</v>
      </c>
      <c r="B325" s="75">
        <v>7.9605922127176107</v>
      </c>
    </row>
    <row r="326" spans="1:2" x14ac:dyDescent="0.2">
      <c r="A326" s="75">
        <v>17.04619363784273</v>
      </c>
      <c r="B326" s="75">
        <v>14.130040194724501</v>
      </c>
    </row>
    <row r="327" spans="1:2" x14ac:dyDescent="0.2">
      <c r="A327" s="75">
        <v>16.496991309250149</v>
      </c>
      <c r="B327" s="75">
        <v>9.8675247867703</v>
      </c>
    </row>
    <row r="328" spans="1:2" x14ac:dyDescent="0.2">
      <c r="A328" s="75">
        <v>15.39290569360613</v>
      </c>
      <c r="B328" s="75">
        <v>12.535489086078121</v>
      </c>
    </row>
    <row r="329" spans="1:2" x14ac:dyDescent="0.2">
      <c r="A329" s="75">
        <v>14.57905543675003</v>
      </c>
      <c r="B329" s="75">
        <v>10.534392134404969</v>
      </c>
    </row>
    <row r="330" spans="1:2" x14ac:dyDescent="0.2">
      <c r="A330" s="75">
        <v>13.39583134698147</v>
      </c>
      <c r="B330" s="75">
        <v>15.45505985009347</v>
      </c>
    </row>
    <row r="331" spans="1:2" x14ac:dyDescent="0.2">
      <c r="A331" s="75">
        <v>6.3120599085260771</v>
      </c>
      <c r="B331" s="75">
        <v>9.7356556355500476</v>
      </c>
    </row>
    <row r="332" spans="1:2" x14ac:dyDescent="0.2">
      <c r="A332" s="75">
        <v>15.314172754632139</v>
      </c>
      <c r="B332" s="75">
        <v>16.244567283921679</v>
      </c>
    </row>
    <row r="333" spans="1:2" x14ac:dyDescent="0.2">
      <c r="A333" s="75">
        <v>14.993876613576539</v>
      </c>
      <c r="B333" s="75">
        <v>12.144844579077381</v>
      </c>
    </row>
    <row r="334" spans="1:2" x14ac:dyDescent="0.2">
      <c r="A334" s="75">
        <v>10.55137281425708</v>
      </c>
      <c r="B334" s="75">
        <v>13.15166643970818</v>
      </c>
    </row>
    <row r="335" spans="1:2" x14ac:dyDescent="0.2">
      <c r="A335" s="75">
        <v>14.03790227909686</v>
      </c>
      <c r="B335" s="75">
        <v>11.153189732257831</v>
      </c>
    </row>
    <row r="336" spans="1:2" x14ac:dyDescent="0.2">
      <c r="A336" s="75">
        <v>16.66141914424394</v>
      </c>
      <c r="B336" s="75">
        <v>12.387792251782811</v>
      </c>
    </row>
    <row r="337" spans="1:2" x14ac:dyDescent="0.2">
      <c r="A337" s="75">
        <v>13.48755986670888</v>
      </c>
      <c r="B337" s="75">
        <v>21.001107601809551</v>
      </c>
    </row>
    <row r="338" spans="1:2" x14ac:dyDescent="0.2">
      <c r="A338" s="75">
        <v>14.92647130924893</v>
      </c>
      <c r="B338" s="75">
        <v>15.191152792670829</v>
      </c>
    </row>
    <row r="339" spans="1:2" x14ac:dyDescent="0.2">
      <c r="A339" s="75">
        <v>16.587251401603741</v>
      </c>
      <c r="B339" s="75">
        <v>15.338024620183811</v>
      </c>
    </row>
    <row r="340" spans="1:2" x14ac:dyDescent="0.2">
      <c r="A340" s="75">
        <v>7.8393070791735031</v>
      </c>
      <c r="B340" s="75">
        <v>8.7538113236033688</v>
      </c>
    </row>
    <row r="341" spans="1:2" x14ac:dyDescent="0.2">
      <c r="A341" s="75">
        <v>23.206465727137811</v>
      </c>
      <c r="B341" s="75">
        <v>18.296160588856701</v>
      </c>
    </row>
    <row r="342" spans="1:2" x14ac:dyDescent="0.2">
      <c r="A342" s="75">
        <v>13.71813772359801</v>
      </c>
      <c r="B342" s="75">
        <v>14.007239455342191</v>
      </c>
    </row>
    <row r="343" spans="1:2" x14ac:dyDescent="0.2">
      <c r="A343" s="75">
        <v>13.58888980221678</v>
      </c>
      <c r="B343" s="75">
        <v>13.650945595322449</v>
      </c>
    </row>
    <row r="344" spans="1:2" x14ac:dyDescent="0.2">
      <c r="A344" s="75">
        <v>23.121843605745951</v>
      </c>
      <c r="B344" s="75">
        <v>14.07678432418601</v>
      </c>
    </row>
    <row r="345" spans="1:2" x14ac:dyDescent="0.2">
      <c r="A345" s="75">
        <v>11.12248328555436</v>
      </c>
      <c r="B345" s="75">
        <v>13.50432223907803</v>
      </c>
    </row>
    <row r="346" spans="1:2" x14ac:dyDescent="0.2">
      <c r="A346" s="75">
        <v>8.7465284123144347</v>
      </c>
      <c r="B346" s="75">
        <v>10.510039980214779</v>
      </c>
    </row>
    <row r="347" spans="1:2" x14ac:dyDescent="0.2">
      <c r="A347" s="75">
        <v>8.7644808471908391</v>
      </c>
      <c r="B347" s="75">
        <v>19.867427018916981</v>
      </c>
    </row>
    <row r="348" spans="1:2" x14ac:dyDescent="0.2">
      <c r="A348" s="75">
        <v>8.1160249686788184</v>
      </c>
      <c r="B348" s="75">
        <v>8.5354716071805239</v>
      </c>
    </row>
    <row r="349" spans="1:2" x14ac:dyDescent="0.2">
      <c r="A349" s="75">
        <v>19.27595782925134</v>
      </c>
      <c r="B349" s="75">
        <v>14.34295868179376</v>
      </c>
    </row>
    <row r="350" spans="1:2" x14ac:dyDescent="0.2">
      <c r="A350" s="75">
        <v>18.29626811281172</v>
      </c>
      <c r="B350" s="75">
        <v>18.925294673416069</v>
      </c>
    </row>
    <row r="351" spans="1:2" x14ac:dyDescent="0.2">
      <c r="A351" s="75">
        <v>15.64077788937378</v>
      </c>
      <c r="B351" s="75">
        <v>9.7811408679701373</v>
      </c>
    </row>
    <row r="352" spans="1:2" x14ac:dyDescent="0.2">
      <c r="A352" s="75">
        <v>11.89327642414408</v>
      </c>
      <c r="B352" s="75">
        <v>13.00948781512604</v>
      </c>
    </row>
    <row r="353" spans="1:2" x14ac:dyDescent="0.2">
      <c r="A353" s="75">
        <v>13.155453782799</v>
      </c>
      <c r="B353" s="75">
        <v>11.98077139851887</v>
      </c>
    </row>
    <row r="354" spans="1:2" x14ac:dyDescent="0.2">
      <c r="A354" s="75">
        <v>13.73767810847478</v>
      </c>
      <c r="B354" s="75">
        <v>12.238474662360071</v>
      </c>
    </row>
    <row r="355" spans="1:2" x14ac:dyDescent="0.2">
      <c r="A355" s="75">
        <v>20.428829811601009</v>
      </c>
      <c r="B355" s="75">
        <v>11.56935880512207</v>
      </c>
    </row>
    <row r="356" spans="1:2" x14ac:dyDescent="0.2">
      <c r="A356" s="75">
        <v>17.92003073501829</v>
      </c>
      <c r="B356" s="75">
        <v>11.207856543549889</v>
      </c>
    </row>
    <row r="357" spans="1:2" x14ac:dyDescent="0.2">
      <c r="A357" s="75">
        <v>14.99049189604866</v>
      </c>
      <c r="B357" s="75">
        <v>13.623946490309139</v>
      </c>
    </row>
    <row r="358" spans="1:2" x14ac:dyDescent="0.2">
      <c r="A358" s="75">
        <v>12.498735317681099</v>
      </c>
      <c r="B358" s="75">
        <v>14.08608550184587</v>
      </c>
    </row>
    <row r="359" spans="1:2" x14ac:dyDescent="0.2">
      <c r="A359" s="75">
        <v>13.990743432003811</v>
      </c>
      <c r="B359" s="75">
        <v>14.11752937388912</v>
      </c>
    </row>
    <row r="360" spans="1:2" x14ac:dyDescent="0.2">
      <c r="A360" s="75">
        <v>20.85567068053993</v>
      </c>
      <c r="B360" s="75">
        <v>16.18765980322291</v>
      </c>
    </row>
    <row r="361" spans="1:2" x14ac:dyDescent="0.2">
      <c r="A361" s="75">
        <v>13.161359280169041</v>
      </c>
      <c r="B361" s="75">
        <v>9.3654925129631117</v>
      </c>
    </row>
    <row r="362" spans="1:2" x14ac:dyDescent="0.2">
      <c r="A362" s="75">
        <v>23.586384528223839</v>
      </c>
      <c r="B362" s="75">
        <v>15.87775861215159</v>
      </c>
    </row>
    <row r="363" spans="1:2" x14ac:dyDescent="0.2">
      <c r="A363" s="75">
        <v>16.259673257120589</v>
      </c>
      <c r="B363" s="75">
        <v>12.78582992750416</v>
      </c>
    </row>
    <row r="364" spans="1:2" x14ac:dyDescent="0.2">
      <c r="A364" s="75">
        <v>12.766369456501289</v>
      </c>
      <c r="B364" s="75">
        <v>10.889043581236249</v>
      </c>
    </row>
    <row r="365" spans="1:2" x14ac:dyDescent="0.2">
      <c r="A365" s="75">
        <v>16.94561992577157</v>
      </c>
      <c r="B365" s="75">
        <v>20.52200948712526</v>
      </c>
    </row>
    <row r="366" spans="1:2" x14ac:dyDescent="0.2">
      <c r="A366" s="75">
        <v>9.2008558610494706</v>
      </c>
      <c r="B366" s="75">
        <v>13.82757239192215</v>
      </c>
    </row>
    <row r="367" spans="1:2" x14ac:dyDescent="0.2">
      <c r="A367" s="75">
        <v>7.3450719958555561</v>
      </c>
      <c r="B367" s="75">
        <v>12.587649206859069</v>
      </c>
    </row>
    <row r="368" spans="1:2" x14ac:dyDescent="0.2">
      <c r="A368" s="75">
        <v>13.79938976405708</v>
      </c>
      <c r="B368" s="75">
        <v>14.61138920330508</v>
      </c>
    </row>
    <row r="369" spans="1:2" x14ac:dyDescent="0.2">
      <c r="A369" s="75">
        <v>13.11204624090521</v>
      </c>
      <c r="B369" s="75">
        <v>11.62684987147693</v>
      </c>
    </row>
    <row r="370" spans="1:2" x14ac:dyDescent="0.2">
      <c r="A370" s="75">
        <v>10.006296200390899</v>
      </c>
      <c r="B370" s="75">
        <v>16.96208539940676</v>
      </c>
    </row>
    <row r="371" spans="1:2" x14ac:dyDescent="0.2">
      <c r="A371" s="75">
        <v>16.048838049274419</v>
      </c>
      <c r="B371" s="75">
        <v>14.44745647508716</v>
      </c>
    </row>
    <row r="372" spans="1:2" x14ac:dyDescent="0.2">
      <c r="A372" s="75">
        <v>16.613495108072271</v>
      </c>
      <c r="B372" s="75">
        <v>19.944077668094849</v>
      </c>
    </row>
    <row r="373" spans="1:2" x14ac:dyDescent="0.2">
      <c r="A373" s="75">
        <v>13.01225508712947</v>
      </c>
      <c r="B373" s="75">
        <v>15.20054353839793</v>
      </c>
    </row>
    <row r="374" spans="1:2" x14ac:dyDescent="0.2">
      <c r="A374" s="75">
        <v>13.248999145622721</v>
      </c>
      <c r="B374" s="75">
        <v>17.19946882370191</v>
      </c>
    </row>
    <row r="375" spans="1:2" x14ac:dyDescent="0.2">
      <c r="A375" s="75">
        <v>18.72557180389752</v>
      </c>
      <c r="B375" s="75">
        <v>17.64604448490077</v>
      </c>
    </row>
    <row r="376" spans="1:2" x14ac:dyDescent="0.2">
      <c r="A376" s="75">
        <v>14.479635413042599</v>
      </c>
      <c r="B376" s="75">
        <v>18.53705567518141</v>
      </c>
    </row>
    <row r="377" spans="1:2" x14ac:dyDescent="0.2">
      <c r="A377" s="75">
        <v>10.076591228755779</v>
      </c>
      <c r="B377" s="75">
        <v>11.011462931496441</v>
      </c>
    </row>
    <row r="378" spans="1:2" x14ac:dyDescent="0.2">
      <c r="A378" s="75">
        <v>6.616326218555975</v>
      </c>
      <c r="B378" s="75">
        <v>8.8122161863035409</v>
      </c>
    </row>
    <row r="379" spans="1:2" x14ac:dyDescent="0.2">
      <c r="A379" s="75">
        <v>9.43616031836034</v>
      </c>
      <c r="B379" s="75">
        <v>9.2120633597471926</v>
      </c>
    </row>
    <row r="380" spans="1:2" x14ac:dyDescent="0.2">
      <c r="A380" s="75">
        <v>18.09167100286918</v>
      </c>
      <c r="B380" s="75">
        <v>11.403491361248349</v>
      </c>
    </row>
    <row r="381" spans="1:2" x14ac:dyDescent="0.2">
      <c r="A381" s="75">
        <v>26.094901466608839</v>
      </c>
      <c r="B381" s="75">
        <v>17.09461296924967</v>
      </c>
    </row>
    <row r="382" spans="1:2" x14ac:dyDescent="0.2">
      <c r="A382" s="75">
        <v>7.5958508573224242</v>
      </c>
      <c r="B382" s="75">
        <v>15.05778156213418</v>
      </c>
    </row>
    <row r="383" spans="1:2" x14ac:dyDescent="0.2">
      <c r="A383" s="75">
        <v>15.58013907890961</v>
      </c>
      <c r="B383" s="75">
        <v>22.33691657995508</v>
      </c>
    </row>
    <row r="384" spans="1:2" x14ac:dyDescent="0.2">
      <c r="A384" s="75">
        <v>13.70030367727799</v>
      </c>
      <c r="B384" s="75">
        <v>11.22368668234483</v>
      </c>
    </row>
    <row r="385" spans="1:2" x14ac:dyDescent="0.2">
      <c r="A385" s="75">
        <v>4.9380521378450961</v>
      </c>
      <c r="B385" s="75">
        <v>9.0331049765901739</v>
      </c>
    </row>
    <row r="386" spans="1:2" x14ac:dyDescent="0.2">
      <c r="A386" s="75">
        <v>13.737122489159621</v>
      </c>
      <c r="B386" s="75">
        <v>14.910724422641779</v>
      </c>
    </row>
    <row r="387" spans="1:2" x14ac:dyDescent="0.2">
      <c r="A387" s="75">
        <v>11.62043366922315</v>
      </c>
      <c r="B387" s="75">
        <v>9.6722852622984572</v>
      </c>
    </row>
    <row r="388" spans="1:2" x14ac:dyDescent="0.2">
      <c r="A388" s="75">
        <v>15.0751968932381</v>
      </c>
      <c r="B388" s="75">
        <v>15.767239977955031</v>
      </c>
    </row>
    <row r="389" spans="1:2" x14ac:dyDescent="0.2">
      <c r="A389" s="75">
        <v>16.170877987888581</v>
      </c>
      <c r="B389" s="75">
        <v>12.82810621769883</v>
      </c>
    </row>
    <row r="390" spans="1:2" x14ac:dyDescent="0.2">
      <c r="A390" s="75">
        <v>17.93808541960794</v>
      </c>
      <c r="B390" s="75">
        <v>16.150413481410801</v>
      </c>
    </row>
    <row r="391" spans="1:2" x14ac:dyDescent="0.2">
      <c r="A391" s="75">
        <v>13.475211919093031</v>
      </c>
      <c r="B391" s="75">
        <v>14.978499257390551</v>
      </c>
    </row>
    <row r="392" spans="1:2" x14ac:dyDescent="0.2">
      <c r="A392" s="75">
        <v>16.711548172168801</v>
      </c>
      <c r="B392" s="75">
        <v>11.56049377383701</v>
      </c>
    </row>
    <row r="393" spans="1:2" x14ac:dyDescent="0.2">
      <c r="A393" s="75">
        <v>20.550792664325819</v>
      </c>
      <c r="B393" s="75">
        <v>17.03293046421431</v>
      </c>
    </row>
    <row r="394" spans="1:2" x14ac:dyDescent="0.2">
      <c r="A394" s="75">
        <v>23.245959585753251</v>
      </c>
      <c r="B394" s="75">
        <v>17.52827775256198</v>
      </c>
    </row>
    <row r="395" spans="1:2" x14ac:dyDescent="0.2">
      <c r="A395" s="75">
        <v>15.339883396489681</v>
      </c>
      <c r="B395" s="75">
        <v>7.0292763652640211</v>
      </c>
    </row>
    <row r="396" spans="1:2" x14ac:dyDescent="0.2">
      <c r="A396" s="75">
        <v>22.915729382927179</v>
      </c>
      <c r="B396" s="75">
        <v>13.15227413183678</v>
      </c>
    </row>
    <row r="397" spans="1:2" x14ac:dyDescent="0.2">
      <c r="A397" s="75">
        <v>6.5897200603606434</v>
      </c>
      <c r="B397" s="75">
        <v>4.2387432682255364</v>
      </c>
    </row>
    <row r="398" spans="1:2" x14ac:dyDescent="0.2">
      <c r="A398" s="75">
        <v>12.76541217394765</v>
      </c>
      <c r="B398" s="75">
        <v>18.24154975365833</v>
      </c>
    </row>
    <row r="399" spans="1:2" x14ac:dyDescent="0.2">
      <c r="A399" s="75">
        <v>15.14343273545456</v>
      </c>
      <c r="B399" s="75">
        <v>13.908831578706939</v>
      </c>
    </row>
    <row r="400" spans="1:2" x14ac:dyDescent="0.2">
      <c r="A400" s="75">
        <v>19.67693618708271</v>
      </c>
      <c r="B400" s="75">
        <v>19.629123520577441</v>
      </c>
    </row>
    <row r="401" spans="1:2" x14ac:dyDescent="0.2">
      <c r="A401" s="75">
        <v>13.942730077373691</v>
      </c>
      <c r="B401" s="75">
        <v>7.6374421619363622</v>
      </c>
    </row>
    <row r="402" spans="1:2" x14ac:dyDescent="0.2">
      <c r="A402" s="75">
        <v>20.61890815598673</v>
      </c>
      <c r="B402" s="75">
        <v>11.98890823627562</v>
      </c>
    </row>
  </sheetData>
  <mergeCells count="1">
    <mergeCell ref="K5:K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D2BB-E7C7-4AE8-997B-D6647A6E254B}">
  <dimension ref="A1:J6"/>
  <sheetViews>
    <sheetView zoomScale="78" workbookViewId="0">
      <selection activeCell="M15" sqref="M15"/>
    </sheetView>
  </sheetViews>
  <sheetFormatPr defaultColWidth="10.76171875" defaultRowHeight="15" x14ac:dyDescent="0.2"/>
  <cols>
    <col min="3" max="3" width="13.98828125" customWidth="1"/>
    <col min="9" max="9" width="6.859375" customWidth="1"/>
    <col min="10" max="10" width="7.93359375" customWidth="1"/>
  </cols>
  <sheetData>
    <row r="1" spans="1:10" ht="25.5" customHeight="1" x14ac:dyDescent="0.2">
      <c r="A1" s="81" t="s">
        <v>191</v>
      </c>
      <c r="B1" s="82"/>
      <c r="C1" s="82"/>
      <c r="D1" s="82"/>
      <c r="E1" s="82"/>
      <c r="F1" s="82"/>
      <c r="G1" s="82"/>
      <c r="H1" s="82"/>
      <c r="I1" s="82"/>
      <c r="J1" s="82"/>
    </row>
    <row r="3" spans="1:10" ht="33.75" customHeight="1" x14ac:dyDescent="0.2">
      <c r="C3" s="104" t="s">
        <v>192</v>
      </c>
      <c r="D3" s="105"/>
    </row>
    <row r="4" spans="1:10" ht="31.5" customHeight="1" x14ac:dyDescent="0.2">
      <c r="C4" s="48" t="s">
        <v>47</v>
      </c>
      <c r="D4" s="75">
        <f>COUNTIF(Datos!B2:B401,"No Estructurados")</f>
        <v>198</v>
      </c>
    </row>
    <row r="5" spans="1:10" ht="29.25" customHeight="1" x14ac:dyDescent="0.2">
      <c r="C5" s="48" t="s">
        <v>193</v>
      </c>
      <c r="D5" s="75">
        <f xml:space="preserve"> COUNTIFS(Datos!B2:B401,"No Estructurados",Datos!D2:D401,"&gt;8")</f>
        <v>192</v>
      </c>
    </row>
    <row r="6" spans="1:10" ht="26.25" customHeight="1" x14ac:dyDescent="0.2">
      <c r="C6" s="83" t="s">
        <v>162</v>
      </c>
      <c r="D6" s="84">
        <f>D5/D4</f>
        <v>0.96969696969696972</v>
      </c>
    </row>
  </sheetData>
  <mergeCells count="1">
    <mergeCell ref="C3:D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485B0-0477-4B15-B94A-931118C0F0F7}">
  <dimension ref="A1:D6"/>
  <sheetViews>
    <sheetView workbookViewId="0">
      <selection activeCell="F4" sqref="F4"/>
    </sheetView>
  </sheetViews>
  <sheetFormatPr defaultColWidth="10.76171875" defaultRowHeight="15" x14ac:dyDescent="0.2"/>
  <cols>
    <col min="2" max="2" width="16.140625" customWidth="1"/>
    <col min="3" max="3" width="13.31640625" customWidth="1"/>
  </cols>
  <sheetData>
    <row r="1" spans="1:4" x14ac:dyDescent="0.2">
      <c r="A1" s="106" t="s">
        <v>194</v>
      </c>
      <c r="B1" s="106"/>
      <c r="C1" s="106"/>
      <c r="D1" s="106"/>
    </row>
    <row r="3" spans="1:4" ht="19.5" customHeight="1" x14ac:dyDescent="0.2">
      <c r="B3" s="104" t="s">
        <v>195</v>
      </c>
      <c r="C3" s="105"/>
    </row>
    <row r="4" spans="1:4" ht="27.75" x14ac:dyDescent="0.2">
      <c r="B4" s="85" t="s">
        <v>196</v>
      </c>
      <c r="C4" s="88">
        <f>COUNTIF(Datos!D2:D401,"&lt;8")</f>
        <v>15</v>
      </c>
    </row>
    <row r="5" spans="1:4" ht="40.5" customHeight="1" x14ac:dyDescent="0.2">
      <c r="B5" s="86" t="s">
        <v>197</v>
      </c>
      <c r="C5" s="87">
        <f>COUNTIFS(Datos!D2:D401,"&lt;8",Datos!G2:G401,4)+COUNTIFS(Datos!D2:D401,"&lt;8",Datos!G2:G401,5)</f>
        <v>2</v>
      </c>
    </row>
    <row r="6" spans="1:4" ht="24" customHeight="1" x14ac:dyDescent="0.2">
      <c r="B6" s="83" t="s">
        <v>162</v>
      </c>
      <c r="C6" s="75">
        <f>(COUNTIFS(Datos!D2:D401,"&lt;8",Datos!G2:G401,4)+COUNTIFS(Datos!D2:D401,"&lt;8",Datos!G2:G401,5))/COUNTIF(Datos!D2:D401,"&lt;8")</f>
        <v>0.13333333333333333</v>
      </c>
    </row>
  </sheetData>
  <mergeCells count="2">
    <mergeCell ref="A1:D1"/>
    <mergeCell ref="B3:C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B6BB-3ED8-442A-BA39-DAE377DCF10D}">
  <dimension ref="A1:J401"/>
  <sheetViews>
    <sheetView zoomScale="74" workbookViewId="0">
      <selection activeCell="A18" sqref="A18"/>
    </sheetView>
  </sheetViews>
  <sheetFormatPr defaultColWidth="10.76171875" defaultRowHeight="15" x14ac:dyDescent="0.2"/>
  <cols>
    <col min="1" max="1" width="50.578125" customWidth="1"/>
    <col min="2" max="2" width="27.57421875" customWidth="1"/>
  </cols>
  <sheetData>
    <row r="1" spans="1:10" ht="30.75" customHeight="1" x14ac:dyDescent="0.2">
      <c r="A1" s="107" t="s">
        <v>88</v>
      </c>
      <c r="B1" s="108"/>
      <c r="I1" s="32" t="s">
        <v>97</v>
      </c>
      <c r="J1" s="32" t="s">
        <v>98</v>
      </c>
    </row>
    <row r="2" spans="1:10" x14ac:dyDescent="0.2">
      <c r="A2" s="29" t="s">
        <v>89</v>
      </c>
      <c r="B2">
        <f>SUM(J2:J401)</f>
        <v>262</v>
      </c>
      <c r="I2">
        <f>IF(Datos!D2&lt;8,1,0)</f>
        <v>0</v>
      </c>
      <c r="J2">
        <f>IF(Datos!E2&gt;=4,1,0)</f>
        <v>0</v>
      </c>
    </row>
    <row r="3" spans="1:10" x14ac:dyDescent="0.2">
      <c r="A3" s="29" t="s">
        <v>90</v>
      </c>
      <c r="B3">
        <f>B2/400</f>
        <v>0.65500000000000003</v>
      </c>
      <c r="I3">
        <f>IF(Datos!D3&lt;8,1,0)</f>
        <v>1</v>
      </c>
      <c r="J3">
        <f>IF(Datos!E3&gt;=4,1,0)</f>
        <v>1</v>
      </c>
    </row>
    <row r="4" spans="1:10" x14ac:dyDescent="0.2">
      <c r="A4" s="29"/>
      <c r="I4">
        <f>IF(Datos!D4&lt;8,1,0)</f>
        <v>0</v>
      </c>
      <c r="J4">
        <f>IF(Datos!E4&gt;=4,1,0)</f>
        <v>1</v>
      </c>
    </row>
    <row r="5" spans="1:10" x14ac:dyDescent="0.2">
      <c r="A5" s="29" t="s">
        <v>91</v>
      </c>
      <c r="B5">
        <f>SUM(I2:I401)</f>
        <v>15</v>
      </c>
      <c r="I5">
        <f>IF(Datos!D5&lt;8,1,0)</f>
        <v>0</v>
      </c>
      <c r="J5">
        <f>IF(Datos!E5&gt;=4,1,0)</f>
        <v>1</v>
      </c>
    </row>
    <row r="6" spans="1:10" x14ac:dyDescent="0.2">
      <c r="A6" s="29" t="s">
        <v>92</v>
      </c>
      <c r="B6">
        <f>B5/400</f>
        <v>3.7499999999999999E-2</v>
      </c>
      <c r="I6">
        <f>IF(Datos!D6&lt;8,1,0)</f>
        <v>0</v>
      </c>
      <c r="J6">
        <f>IF(Datos!E6&gt;=4,1,0)</f>
        <v>1</v>
      </c>
    </row>
    <row r="7" spans="1:10" x14ac:dyDescent="0.2">
      <c r="A7" s="29"/>
      <c r="I7">
        <f>IF(Datos!D7&lt;8,1,0)</f>
        <v>0</v>
      </c>
      <c r="J7">
        <f>IF(Datos!E7&gt;=4,1,0)</f>
        <v>0</v>
      </c>
    </row>
    <row r="8" spans="1:10" x14ac:dyDescent="0.2">
      <c r="A8" s="29" t="s">
        <v>93</v>
      </c>
      <c r="B8">
        <f>SUMPRODUCT(J2:J401,I2:I401)</f>
        <v>15</v>
      </c>
      <c r="I8">
        <f>IF(Datos!D8&lt;8,1,0)</f>
        <v>0</v>
      </c>
      <c r="J8">
        <f>IF(Datos!E8&gt;=4,1,0)</f>
        <v>0</v>
      </c>
    </row>
    <row r="9" spans="1:10" x14ac:dyDescent="0.2">
      <c r="A9" s="29" t="s">
        <v>94</v>
      </c>
      <c r="B9" s="11">
        <f>B8/B2</f>
        <v>5.7251908396946563E-2</v>
      </c>
      <c r="I9">
        <f>IF(Datos!D9&lt;8,1,0)</f>
        <v>0</v>
      </c>
      <c r="J9">
        <f>IF(Datos!E9&gt;=4,1,0)</f>
        <v>1</v>
      </c>
    </row>
    <row r="10" spans="1:10" x14ac:dyDescent="0.2">
      <c r="A10" s="29" t="s">
        <v>95</v>
      </c>
      <c r="B10" s="12">
        <f>B9*B3/B6</f>
        <v>1</v>
      </c>
      <c r="I10">
        <f>IF(Datos!D10&lt;8,1,0)</f>
        <v>0</v>
      </c>
      <c r="J10">
        <f>IF(Datos!E10&gt;=4,1,0)</f>
        <v>1</v>
      </c>
    </row>
    <row r="11" spans="1:10" x14ac:dyDescent="0.2">
      <c r="A11" s="29" t="s">
        <v>96</v>
      </c>
      <c r="B11" s="12">
        <f>B8/B5</f>
        <v>1</v>
      </c>
      <c r="I11">
        <f>IF(Datos!D11&lt;8,1,0)</f>
        <v>0</v>
      </c>
      <c r="J11">
        <f>IF(Datos!E11&gt;=4,1,0)</f>
        <v>0</v>
      </c>
    </row>
    <row r="12" spans="1:10" x14ac:dyDescent="0.2">
      <c r="I12">
        <f>IF(Datos!D12&lt;8,1,0)</f>
        <v>0</v>
      </c>
      <c r="J12">
        <f>IF(Datos!E12&gt;=4,1,0)</f>
        <v>1</v>
      </c>
    </row>
    <row r="13" spans="1:10" x14ac:dyDescent="0.2">
      <c r="A13" s="33" t="s">
        <v>99</v>
      </c>
      <c r="B13">
        <v>400</v>
      </c>
      <c r="I13">
        <f>IF(Datos!D13&lt;8,1,0)</f>
        <v>0</v>
      </c>
      <c r="J13">
        <f>IF(Datos!E13&gt;=4,1,0)</f>
        <v>1</v>
      </c>
    </row>
    <row r="14" spans="1:10" x14ac:dyDescent="0.2">
      <c r="I14">
        <f>IF(Datos!D14&lt;8,1,0)</f>
        <v>0</v>
      </c>
      <c r="J14">
        <f>IF(Datos!E14&gt;=4,1,0)</f>
        <v>1</v>
      </c>
    </row>
    <row r="15" spans="1:10" x14ac:dyDescent="0.2">
      <c r="I15">
        <f>IF(Datos!D15&lt;8,1,0)</f>
        <v>0</v>
      </c>
      <c r="J15">
        <f>IF(Datos!E15&gt;=4,1,0)</f>
        <v>1</v>
      </c>
    </row>
    <row r="16" spans="1:10" x14ac:dyDescent="0.2">
      <c r="I16">
        <f>IF(Datos!D16&lt;8,1,0)</f>
        <v>0</v>
      </c>
      <c r="J16">
        <f>IF(Datos!E16&gt;=4,1,0)</f>
        <v>1</v>
      </c>
    </row>
    <row r="17" spans="9:10" x14ac:dyDescent="0.2">
      <c r="I17">
        <f>IF(Datos!D17&lt;8,1,0)</f>
        <v>0</v>
      </c>
      <c r="J17">
        <f>IF(Datos!E17&gt;=4,1,0)</f>
        <v>1</v>
      </c>
    </row>
    <row r="18" spans="9:10" x14ac:dyDescent="0.2">
      <c r="I18">
        <f>IF(Datos!D18&lt;8,1,0)</f>
        <v>0</v>
      </c>
      <c r="J18">
        <f>IF(Datos!E18&gt;=4,1,0)</f>
        <v>1</v>
      </c>
    </row>
    <row r="19" spans="9:10" x14ac:dyDescent="0.2">
      <c r="I19">
        <f>IF(Datos!D19&lt;8,1,0)</f>
        <v>0</v>
      </c>
      <c r="J19">
        <f>IF(Datos!E19&gt;=4,1,0)</f>
        <v>1</v>
      </c>
    </row>
    <row r="20" spans="9:10" x14ac:dyDescent="0.2">
      <c r="I20">
        <f>IF(Datos!D20&lt;8,1,0)</f>
        <v>0</v>
      </c>
      <c r="J20">
        <f>IF(Datos!E20&gt;=4,1,0)</f>
        <v>1</v>
      </c>
    </row>
    <row r="21" spans="9:10" x14ac:dyDescent="0.2">
      <c r="I21">
        <f>IF(Datos!D21&lt;8,1,0)</f>
        <v>0</v>
      </c>
      <c r="J21">
        <f>IF(Datos!E21&gt;=4,1,0)</f>
        <v>1</v>
      </c>
    </row>
    <row r="22" spans="9:10" x14ac:dyDescent="0.2">
      <c r="I22">
        <f>IF(Datos!D22&lt;8,1,0)</f>
        <v>0</v>
      </c>
      <c r="J22">
        <f>IF(Datos!E22&gt;=4,1,0)</f>
        <v>0</v>
      </c>
    </row>
    <row r="23" spans="9:10" x14ac:dyDescent="0.2">
      <c r="I23">
        <f>IF(Datos!D23&lt;8,1,0)</f>
        <v>0</v>
      </c>
      <c r="J23">
        <f>IF(Datos!E23&gt;=4,1,0)</f>
        <v>1</v>
      </c>
    </row>
    <row r="24" spans="9:10" x14ac:dyDescent="0.2">
      <c r="I24">
        <f>IF(Datos!D24&lt;8,1,0)</f>
        <v>0</v>
      </c>
      <c r="J24">
        <f>IF(Datos!E24&gt;=4,1,0)</f>
        <v>1</v>
      </c>
    </row>
    <row r="25" spans="9:10" x14ac:dyDescent="0.2">
      <c r="I25">
        <f>IF(Datos!D25&lt;8,1,0)</f>
        <v>0</v>
      </c>
      <c r="J25">
        <f>IF(Datos!E25&gt;=4,1,0)</f>
        <v>0</v>
      </c>
    </row>
    <row r="26" spans="9:10" x14ac:dyDescent="0.2">
      <c r="I26">
        <f>IF(Datos!D26&lt;8,1,0)</f>
        <v>0</v>
      </c>
      <c r="J26">
        <f>IF(Datos!E26&gt;=4,1,0)</f>
        <v>0</v>
      </c>
    </row>
    <row r="27" spans="9:10" x14ac:dyDescent="0.2">
      <c r="I27">
        <f>IF(Datos!D27&lt;8,1,0)</f>
        <v>0</v>
      </c>
      <c r="J27">
        <f>IF(Datos!E27&gt;=4,1,0)</f>
        <v>0</v>
      </c>
    </row>
    <row r="28" spans="9:10" x14ac:dyDescent="0.2">
      <c r="I28">
        <f>IF(Datos!D28&lt;8,1,0)</f>
        <v>1</v>
      </c>
      <c r="J28">
        <f>IF(Datos!E28&gt;=4,1,0)</f>
        <v>1</v>
      </c>
    </row>
    <row r="29" spans="9:10" x14ac:dyDescent="0.2">
      <c r="I29">
        <f>IF(Datos!D29&lt;8,1,0)</f>
        <v>0</v>
      </c>
      <c r="J29">
        <f>IF(Datos!E29&gt;=4,1,0)</f>
        <v>1</v>
      </c>
    </row>
    <row r="30" spans="9:10" x14ac:dyDescent="0.2">
      <c r="I30">
        <f>IF(Datos!D30&lt;8,1,0)</f>
        <v>0</v>
      </c>
      <c r="J30">
        <f>IF(Datos!E30&gt;=4,1,0)</f>
        <v>1</v>
      </c>
    </row>
    <row r="31" spans="9:10" x14ac:dyDescent="0.2">
      <c r="I31">
        <f>IF(Datos!D31&lt;8,1,0)</f>
        <v>0</v>
      </c>
      <c r="J31">
        <f>IF(Datos!E31&gt;=4,1,0)</f>
        <v>1</v>
      </c>
    </row>
    <row r="32" spans="9:10" x14ac:dyDescent="0.2">
      <c r="I32">
        <f>IF(Datos!D32&lt;8,1,0)</f>
        <v>0</v>
      </c>
      <c r="J32">
        <f>IF(Datos!E32&gt;=4,1,0)</f>
        <v>1</v>
      </c>
    </row>
    <row r="33" spans="9:10" x14ac:dyDescent="0.2">
      <c r="I33">
        <f>IF(Datos!D33&lt;8,1,0)</f>
        <v>0</v>
      </c>
      <c r="J33">
        <f>IF(Datos!E33&gt;=4,1,0)</f>
        <v>0</v>
      </c>
    </row>
    <row r="34" spans="9:10" x14ac:dyDescent="0.2">
      <c r="I34">
        <f>IF(Datos!D34&lt;8,1,0)</f>
        <v>0</v>
      </c>
      <c r="J34">
        <f>IF(Datos!E34&gt;=4,1,0)</f>
        <v>0</v>
      </c>
    </row>
    <row r="35" spans="9:10" x14ac:dyDescent="0.2">
      <c r="I35">
        <f>IF(Datos!D35&lt;8,1,0)</f>
        <v>0</v>
      </c>
      <c r="J35">
        <f>IF(Datos!E35&gt;=4,1,0)</f>
        <v>1</v>
      </c>
    </row>
    <row r="36" spans="9:10" x14ac:dyDescent="0.2">
      <c r="I36">
        <f>IF(Datos!D36&lt;8,1,0)</f>
        <v>0</v>
      </c>
      <c r="J36">
        <f>IF(Datos!E36&gt;=4,1,0)</f>
        <v>1</v>
      </c>
    </row>
    <row r="37" spans="9:10" x14ac:dyDescent="0.2">
      <c r="I37">
        <f>IF(Datos!D37&lt;8,1,0)</f>
        <v>0</v>
      </c>
      <c r="J37">
        <f>IF(Datos!E37&gt;=4,1,0)</f>
        <v>1</v>
      </c>
    </row>
    <row r="38" spans="9:10" x14ac:dyDescent="0.2">
      <c r="I38">
        <f>IF(Datos!D38&lt;8,1,0)</f>
        <v>0</v>
      </c>
      <c r="J38">
        <f>IF(Datos!E38&gt;=4,1,0)</f>
        <v>0</v>
      </c>
    </row>
    <row r="39" spans="9:10" x14ac:dyDescent="0.2">
      <c r="I39">
        <f>IF(Datos!D39&lt;8,1,0)</f>
        <v>0</v>
      </c>
      <c r="J39">
        <f>IF(Datos!E39&gt;=4,1,0)</f>
        <v>1</v>
      </c>
    </row>
    <row r="40" spans="9:10" x14ac:dyDescent="0.2">
      <c r="I40">
        <f>IF(Datos!D40&lt;8,1,0)</f>
        <v>0</v>
      </c>
      <c r="J40">
        <f>IF(Datos!E40&gt;=4,1,0)</f>
        <v>0</v>
      </c>
    </row>
    <row r="41" spans="9:10" x14ac:dyDescent="0.2">
      <c r="I41">
        <f>IF(Datos!D41&lt;8,1,0)</f>
        <v>0</v>
      </c>
      <c r="J41">
        <f>IF(Datos!E41&gt;=4,1,0)</f>
        <v>1</v>
      </c>
    </row>
    <row r="42" spans="9:10" x14ac:dyDescent="0.2">
      <c r="I42">
        <f>IF(Datos!D42&lt;8,1,0)</f>
        <v>0</v>
      </c>
      <c r="J42">
        <f>IF(Datos!E42&gt;=4,1,0)</f>
        <v>1</v>
      </c>
    </row>
    <row r="43" spans="9:10" x14ac:dyDescent="0.2">
      <c r="I43">
        <f>IF(Datos!D43&lt;8,1,0)</f>
        <v>0</v>
      </c>
      <c r="J43">
        <f>IF(Datos!E43&gt;=4,1,0)</f>
        <v>0</v>
      </c>
    </row>
    <row r="44" spans="9:10" x14ac:dyDescent="0.2">
      <c r="I44">
        <f>IF(Datos!D44&lt;8,1,0)</f>
        <v>0</v>
      </c>
      <c r="J44">
        <f>IF(Datos!E44&gt;=4,1,0)</f>
        <v>0</v>
      </c>
    </row>
    <row r="45" spans="9:10" x14ac:dyDescent="0.2">
      <c r="I45">
        <f>IF(Datos!D45&lt;8,1,0)</f>
        <v>0</v>
      </c>
      <c r="J45">
        <f>IF(Datos!E45&gt;=4,1,0)</f>
        <v>0</v>
      </c>
    </row>
    <row r="46" spans="9:10" x14ac:dyDescent="0.2">
      <c r="I46">
        <f>IF(Datos!D46&lt;8,1,0)</f>
        <v>0</v>
      </c>
      <c r="J46">
        <f>IF(Datos!E46&gt;=4,1,0)</f>
        <v>1</v>
      </c>
    </row>
    <row r="47" spans="9:10" x14ac:dyDescent="0.2">
      <c r="I47">
        <f>IF(Datos!D47&lt;8,1,0)</f>
        <v>0</v>
      </c>
      <c r="J47">
        <f>IF(Datos!E47&gt;=4,1,0)</f>
        <v>1</v>
      </c>
    </row>
    <row r="48" spans="9:10" x14ac:dyDescent="0.2">
      <c r="I48">
        <f>IF(Datos!D48&lt;8,1,0)</f>
        <v>0</v>
      </c>
      <c r="J48">
        <f>IF(Datos!E48&gt;=4,1,0)</f>
        <v>0</v>
      </c>
    </row>
    <row r="49" spans="9:10" x14ac:dyDescent="0.2">
      <c r="I49">
        <f>IF(Datos!D49&lt;8,1,0)</f>
        <v>0</v>
      </c>
      <c r="J49">
        <f>IF(Datos!E49&gt;=4,1,0)</f>
        <v>1</v>
      </c>
    </row>
    <row r="50" spans="9:10" x14ac:dyDescent="0.2">
      <c r="I50">
        <f>IF(Datos!D50&lt;8,1,0)</f>
        <v>0</v>
      </c>
      <c r="J50">
        <f>IF(Datos!E50&gt;=4,1,0)</f>
        <v>0</v>
      </c>
    </row>
    <row r="51" spans="9:10" x14ac:dyDescent="0.2">
      <c r="I51">
        <f>IF(Datos!D51&lt;8,1,0)</f>
        <v>0</v>
      </c>
      <c r="J51">
        <f>IF(Datos!E51&gt;=4,1,0)</f>
        <v>0</v>
      </c>
    </row>
    <row r="52" spans="9:10" x14ac:dyDescent="0.2">
      <c r="I52">
        <f>IF(Datos!D52&lt;8,1,0)</f>
        <v>0</v>
      </c>
      <c r="J52">
        <f>IF(Datos!E52&gt;=4,1,0)</f>
        <v>1</v>
      </c>
    </row>
    <row r="53" spans="9:10" x14ac:dyDescent="0.2">
      <c r="I53">
        <f>IF(Datos!D53&lt;8,1,0)</f>
        <v>0</v>
      </c>
      <c r="J53">
        <f>IF(Datos!E53&gt;=4,1,0)</f>
        <v>0</v>
      </c>
    </row>
    <row r="54" spans="9:10" x14ac:dyDescent="0.2">
      <c r="I54">
        <f>IF(Datos!D54&lt;8,1,0)</f>
        <v>0</v>
      </c>
      <c r="J54">
        <f>IF(Datos!E54&gt;=4,1,0)</f>
        <v>0</v>
      </c>
    </row>
    <row r="55" spans="9:10" x14ac:dyDescent="0.2">
      <c r="I55">
        <f>IF(Datos!D55&lt;8,1,0)</f>
        <v>0</v>
      </c>
      <c r="J55">
        <f>IF(Datos!E55&gt;=4,1,0)</f>
        <v>0</v>
      </c>
    </row>
    <row r="56" spans="9:10" x14ac:dyDescent="0.2">
      <c r="I56">
        <f>IF(Datos!D56&lt;8,1,0)</f>
        <v>0</v>
      </c>
      <c r="J56">
        <f>IF(Datos!E56&gt;=4,1,0)</f>
        <v>1</v>
      </c>
    </row>
    <row r="57" spans="9:10" x14ac:dyDescent="0.2">
      <c r="I57">
        <f>IF(Datos!D57&lt;8,1,0)</f>
        <v>1</v>
      </c>
      <c r="J57">
        <f>IF(Datos!E57&gt;=4,1,0)</f>
        <v>1</v>
      </c>
    </row>
    <row r="58" spans="9:10" x14ac:dyDescent="0.2">
      <c r="I58">
        <f>IF(Datos!D58&lt;8,1,0)</f>
        <v>0</v>
      </c>
      <c r="J58">
        <f>IF(Datos!E58&gt;=4,1,0)</f>
        <v>0</v>
      </c>
    </row>
    <row r="59" spans="9:10" x14ac:dyDescent="0.2">
      <c r="I59">
        <f>IF(Datos!D59&lt;8,1,0)</f>
        <v>0</v>
      </c>
      <c r="J59">
        <f>IF(Datos!E59&gt;=4,1,0)</f>
        <v>1</v>
      </c>
    </row>
    <row r="60" spans="9:10" x14ac:dyDescent="0.2">
      <c r="I60">
        <f>IF(Datos!D60&lt;8,1,0)</f>
        <v>0</v>
      </c>
      <c r="J60">
        <f>IF(Datos!E60&gt;=4,1,0)</f>
        <v>1</v>
      </c>
    </row>
    <row r="61" spans="9:10" x14ac:dyDescent="0.2">
      <c r="I61">
        <f>IF(Datos!D61&lt;8,1,0)</f>
        <v>0</v>
      </c>
      <c r="J61">
        <f>IF(Datos!E61&gt;=4,1,0)</f>
        <v>1</v>
      </c>
    </row>
    <row r="62" spans="9:10" x14ac:dyDescent="0.2">
      <c r="I62">
        <f>IF(Datos!D62&lt;8,1,0)</f>
        <v>0</v>
      </c>
      <c r="J62">
        <f>IF(Datos!E62&gt;=4,1,0)</f>
        <v>1</v>
      </c>
    </row>
    <row r="63" spans="9:10" x14ac:dyDescent="0.2">
      <c r="I63">
        <f>IF(Datos!D63&lt;8,1,0)</f>
        <v>0</v>
      </c>
      <c r="J63">
        <f>IF(Datos!E63&gt;=4,1,0)</f>
        <v>1</v>
      </c>
    </row>
    <row r="64" spans="9:10" x14ac:dyDescent="0.2">
      <c r="I64">
        <f>IF(Datos!D64&lt;8,1,0)</f>
        <v>0</v>
      </c>
      <c r="J64">
        <f>IF(Datos!E64&gt;=4,1,0)</f>
        <v>0</v>
      </c>
    </row>
    <row r="65" spans="9:10" x14ac:dyDescent="0.2">
      <c r="I65">
        <f>IF(Datos!D65&lt;8,1,0)</f>
        <v>0</v>
      </c>
      <c r="J65">
        <f>IF(Datos!E65&gt;=4,1,0)</f>
        <v>0</v>
      </c>
    </row>
    <row r="66" spans="9:10" x14ac:dyDescent="0.2">
      <c r="I66">
        <f>IF(Datos!D66&lt;8,1,0)</f>
        <v>0</v>
      </c>
      <c r="J66">
        <f>IF(Datos!E66&gt;=4,1,0)</f>
        <v>1</v>
      </c>
    </row>
    <row r="67" spans="9:10" x14ac:dyDescent="0.2">
      <c r="I67">
        <f>IF(Datos!D67&lt;8,1,0)</f>
        <v>0</v>
      </c>
      <c r="J67">
        <f>IF(Datos!E67&gt;=4,1,0)</f>
        <v>0</v>
      </c>
    </row>
    <row r="68" spans="9:10" x14ac:dyDescent="0.2">
      <c r="I68">
        <f>IF(Datos!D68&lt;8,1,0)</f>
        <v>0</v>
      </c>
      <c r="J68">
        <f>IF(Datos!E68&gt;=4,1,0)</f>
        <v>0</v>
      </c>
    </row>
    <row r="69" spans="9:10" x14ac:dyDescent="0.2">
      <c r="I69">
        <f>IF(Datos!D69&lt;8,1,0)</f>
        <v>0</v>
      </c>
      <c r="J69">
        <f>IF(Datos!E69&gt;=4,1,0)</f>
        <v>1</v>
      </c>
    </row>
    <row r="70" spans="9:10" x14ac:dyDescent="0.2">
      <c r="I70">
        <f>IF(Datos!D70&lt;8,1,0)</f>
        <v>0</v>
      </c>
      <c r="J70">
        <f>IF(Datos!E70&gt;=4,1,0)</f>
        <v>1</v>
      </c>
    </row>
    <row r="71" spans="9:10" x14ac:dyDescent="0.2">
      <c r="I71">
        <f>IF(Datos!D71&lt;8,1,0)</f>
        <v>0</v>
      </c>
      <c r="J71">
        <f>IF(Datos!E71&gt;=4,1,0)</f>
        <v>1</v>
      </c>
    </row>
    <row r="72" spans="9:10" x14ac:dyDescent="0.2">
      <c r="I72">
        <f>IF(Datos!D72&lt;8,1,0)</f>
        <v>0</v>
      </c>
      <c r="J72">
        <f>IF(Datos!E72&gt;=4,1,0)</f>
        <v>1</v>
      </c>
    </row>
    <row r="73" spans="9:10" x14ac:dyDescent="0.2">
      <c r="I73">
        <f>IF(Datos!D73&lt;8,1,0)</f>
        <v>0</v>
      </c>
      <c r="J73">
        <f>IF(Datos!E73&gt;=4,1,0)</f>
        <v>1</v>
      </c>
    </row>
    <row r="74" spans="9:10" x14ac:dyDescent="0.2">
      <c r="I74">
        <f>IF(Datos!D74&lt;8,1,0)</f>
        <v>0</v>
      </c>
      <c r="J74">
        <f>IF(Datos!E74&gt;=4,1,0)</f>
        <v>1</v>
      </c>
    </row>
    <row r="75" spans="9:10" x14ac:dyDescent="0.2">
      <c r="I75">
        <f>IF(Datos!D75&lt;8,1,0)</f>
        <v>0</v>
      </c>
      <c r="J75">
        <f>IF(Datos!E75&gt;=4,1,0)</f>
        <v>1</v>
      </c>
    </row>
    <row r="76" spans="9:10" x14ac:dyDescent="0.2">
      <c r="I76">
        <f>IF(Datos!D76&lt;8,1,0)</f>
        <v>0</v>
      </c>
      <c r="J76">
        <f>IF(Datos!E76&gt;=4,1,0)</f>
        <v>1</v>
      </c>
    </row>
    <row r="77" spans="9:10" x14ac:dyDescent="0.2">
      <c r="I77">
        <f>IF(Datos!D77&lt;8,1,0)</f>
        <v>0</v>
      </c>
      <c r="J77">
        <f>IF(Datos!E77&gt;=4,1,0)</f>
        <v>0</v>
      </c>
    </row>
    <row r="78" spans="9:10" x14ac:dyDescent="0.2">
      <c r="I78">
        <f>IF(Datos!D78&lt;8,1,0)</f>
        <v>0</v>
      </c>
      <c r="J78">
        <f>IF(Datos!E78&gt;=4,1,0)</f>
        <v>0</v>
      </c>
    </row>
    <row r="79" spans="9:10" x14ac:dyDescent="0.2">
      <c r="I79">
        <f>IF(Datos!D79&lt;8,1,0)</f>
        <v>0</v>
      </c>
      <c r="J79">
        <f>IF(Datos!E79&gt;=4,1,0)</f>
        <v>1</v>
      </c>
    </row>
    <row r="80" spans="9:10" x14ac:dyDescent="0.2">
      <c r="I80">
        <f>IF(Datos!D80&lt;8,1,0)</f>
        <v>0</v>
      </c>
      <c r="J80">
        <f>IF(Datos!E80&gt;=4,1,0)</f>
        <v>0</v>
      </c>
    </row>
    <row r="81" spans="9:10" x14ac:dyDescent="0.2">
      <c r="I81">
        <f>IF(Datos!D81&lt;8,1,0)</f>
        <v>0</v>
      </c>
      <c r="J81">
        <f>IF(Datos!E81&gt;=4,1,0)</f>
        <v>0</v>
      </c>
    </row>
    <row r="82" spans="9:10" x14ac:dyDescent="0.2">
      <c r="I82">
        <f>IF(Datos!D82&lt;8,1,0)</f>
        <v>0</v>
      </c>
      <c r="J82">
        <f>IF(Datos!E82&gt;=4,1,0)</f>
        <v>0</v>
      </c>
    </row>
    <row r="83" spans="9:10" x14ac:dyDescent="0.2">
      <c r="I83">
        <f>IF(Datos!D83&lt;8,1,0)</f>
        <v>0</v>
      </c>
      <c r="J83">
        <f>IF(Datos!E83&gt;=4,1,0)</f>
        <v>0</v>
      </c>
    </row>
    <row r="84" spans="9:10" x14ac:dyDescent="0.2">
      <c r="I84">
        <f>IF(Datos!D84&lt;8,1,0)</f>
        <v>0</v>
      </c>
      <c r="J84">
        <f>IF(Datos!E84&gt;=4,1,0)</f>
        <v>1</v>
      </c>
    </row>
    <row r="85" spans="9:10" x14ac:dyDescent="0.2">
      <c r="I85">
        <f>IF(Datos!D85&lt;8,1,0)</f>
        <v>0</v>
      </c>
      <c r="J85">
        <f>IF(Datos!E85&gt;=4,1,0)</f>
        <v>1</v>
      </c>
    </row>
    <row r="86" spans="9:10" x14ac:dyDescent="0.2">
      <c r="I86">
        <f>IF(Datos!D86&lt;8,1,0)</f>
        <v>1</v>
      </c>
      <c r="J86">
        <f>IF(Datos!E86&gt;=4,1,0)</f>
        <v>1</v>
      </c>
    </row>
    <row r="87" spans="9:10" x14ac:dyDescent="0.2">
      <c r="I87">
        <f>IF(Datos!D87&lt;8,1,0)</f>
        <v>0</v>
      </c>
      <c r="J87">
        <f>IF(Datos!E87&gt;=4,1,0)</f>
        <v>1</v>
      </c>
    </row>
    <row r="88" spans="9:10" x14ac:dyDescent="0.2">
      <c r="I88">
        <f>IF(Datos!D88&lt;8,1,0)</f>
        <v>0</v>
      </c>
      <c r="J88">
        <f>IF(Datos!E88&gt;=4,1,0)</f>
        <v>1</v>
      </c>
    </row>
    <row r="89" spans="9:10" x14ac:dyDescent="0.2">
      <c r="I89">
        <f>IF(Datos!D89&lt;8,1,0)</f>
        <v>0</v>
      </c>
      <c r="J89">
        <f>IF(Datos!E89&gt;=4,1,0)</f>
        <v>0</v>
      </c>
    </row>
    <row r="90" spans="9:10" x14ac:dyDescent="0.2">
      <c r="I90">
        <f>IF(Datos!D90&lt;8,1,0)</f>
        <v>0</v>
      </c>
      <c r="J90">
        <f>IF(Datos!E90&gt;=4,1,0)</f>
        <v>1</v>
      </c>
    </row>
    <row r="91" spans="9:10" x14ac:dyDescent="0.2">
      <c r="I91">
        <f>IF(Datos!D91&lt;8,1,0)</f>
        <v>0</v>
      </c>
      <c r="J91">
        <f>IF(Datos!E91&gt;=4,1,0)</f>
        <v>1</v>
      </c>
    </row>
    <row r="92" spans="9:10" x14ac:dyDescent="0.2">
      <c r="I92">
        <f>IF(Datos!D92&lt;8,1,0)</f>
        <v>0</v>
      </c>
      <c r="J92">
        <f>IF(Datos!E92&gt;=4,1,0)</f>
        <v>0</v>
      </c>
    </row>
    <row r="93" spans="9:10" x14ac:dyDescent="0.2">
      <c r="I93">
        <f>IF(Datos!D93&lt;8,1,0)</f>
        <v>0</v>
      </c>
      <c r="J93">
        <f>IF(Datos!E93&gt;=4,1,0)</f>
        <v>1</v>
      </c>
    </row>
    <row r="94" spans="9:10" x14ac:dyDescent="0.2">
      <c r="I94">
        <f>IF(Datos!D94&lt;8,1,0)</f>
        <v>0</v>
      </c>
      <c r="J94">
        <f>IF(Datos!E94&gt;=4,1,0)</f>
        <v>0</v>
      </c>
    </row>
    <row r="95" spans="9:10" x14ac:dyDescent="0.2">
      <c r="I95">
        <f>IF(Datos!D95&lt;8,1,0)</f>
        <v>0</v>
      </c>
      <c r="J95">
        <f>IF(Datos!E95&gt;=4,1,0)</f>
        <v>0</v>
      </c>
    </row>
    <row r="96" spans="9:10" x14ac:dyDescent="0.2">
      <c r="I96">
        <f>IF(Datos!D96&lt;8,1,0)</f>
        <v>0</v>
      </c>
      <c r="J96">
        <f>IF(Datos!E96&gt;=4,1,0)</f>
        <v>1</v>
      </c>
    </row>
    <row r="97" spans="9:10" x14ac:dyDescent="0.2">
      <c r="I97">
        <f>IF(Datos!D97&lt;8,1,0)</f>
        <v>0</v>
      </c>
      <c r="J97">
        <f>IF(Datos!E97&gt;=4,1,0)</f>
        <v>1</v>
      </c>
    </row>
    <row r="98" spans="9:10" x14ac:dyDescent="0.2">
      <c r="I98">
        <f>IF(Datos!D98&lt;8,1,0)</f>
        <v>0</v>
      </c>
      <c r="J98">
        <f>IF(Datos!E98&gt;=4,1,0)</f>
        <v>0</v>
      </c>
    </row>
    <row r="99" spans="9:10" x14ac:dyDescent="0.2">
      <c r="I99">
        <f>IF(Datos!D99&lt;8,1,0)</f>
        <v>0</v>
      </c>
      <c r="J99">
        <f>IF(Datos!E99&gt;=4,1,0)</f>
        <v>1</v>
      </c>
    </row>
    <row r="100" spans="9:10" x14ac:dyDescent="0.2">
      <c r="I100">
        <f>IF(Datos!D100&lt;8,1,0)</f>
        <v>0</v>
      </c>
      <c r="J100">
        <f>IF(Datos!E100&gt;=4,1,0)</f>
        <v>0</v>
      </c>
    </row>
    <row r="101" spans="9:10" x14ac:dyDescent="0.2">
      <c r="I101">
        <f>IF(Datos!D101&lt;8,1,0)</f>
        <v>0</v>
      </c>
      <c r="J101">
        <f>IF(Datos!E101&gt;=4,1,0)</f>
        <v>1</v>
      </c>
    </row>
    <row r="102" spans="9:10" x14ac:dyDescent="0.2">
      <c r="I102">
        <f>IF(Datos!D102&lt;8,1,0)</f>
        <v>0</v>
      </c>
      <c r="J102">
        <f>IF(Datos!E102&gt;=4,1,0)</f>
        <v>0</v>
      </c>
    </row>
    <row r="103" spans="9:10" x14ac:dyDescent="0.2">
      <c r="I103">
        <f>IF(Datos!D103&lt;8,1,0)</f>
        <v>0</v>
      </c>
      <c r="J103">
        <f>IF(Datos!E103&gt;=4,1,0)</f>
        <v>0</v>
      </c>
    </row>
    <row r="104" spans="9:10" x14ac:dyDescent="0.2">
      <c r="I104">
        <f>IF(Datos!D104&lt;8,1,0)</f>
        <v>0</v>
      </c>
      <c r="J104">
        <f>IF(Datos!E104&gt;=4,1,0)</f>
        <v>1</v>
      </c>
    </row>
    <row r="105" spans="9:10" x14ac:dyDescent="0.2">
      <c r="I105">
        <f>IF(Datos!D105&lt;8,1,0)</f>
        <v>0</v>
      </c>
      <c r="J105">
        <f>IF(Datos!E105&gt;=4,1,0)</f>
        <v>0</v>
      </c>
    </row>
    <row r="106" spans="9:10" x14ac:dyDescent="0.2">
      <c r="I106">
        <f>IF(Datos!D106&lt;8,1,0)</f>
        <v>0</v>
      </c>
      <c r="J106">
        <f>IF(Datos!E106&gt;=4,1,0)</f>
        <v>1</v>
      </c>
    </row>
    <row r="107" spans="9:10" x14ac:dyDescent="0.2">
      <c r="I107">
        <f>IF(Datos!D107&lt;8,1,0)</f>
        <v>0</v>
      </c>
      <c r="J107">
        <f>IF(Datos!E107&gt;=4,1,0)</f>
        <v>1</v>
      </c>
    </row>
    <row r="108" spans="9:10" x14ac:dyDescent="0.2">
      <c r="I108">
        <f>IF(Datos!D108&lt;8,1,0)</f>
        <v>0</v>
      </c>
      <c r="J108">
        <f>IF(Datos!E108&gt;=4,1,0)</f>
        <v>1</v>
      </c>
    </row>
    <row r="109" spans="9:10" x14ac:dyDescent="0.2">
      <c r="I109">
        <f>IF(Datos!D109&lt;8,1,0)</f>
        <v>0</v>
      </c>
      <c r="J109">
        <f>IF(Datos!E109&gt;=4,1,0)</f>
        <v>0</v>
      </c>
    </row>
    <row r="110" spans="9:10" x14ac:dyDescent="0.2">
      <c r="I110">
        <f>IF(Datos!D110&lt;8,1,0)</f>
        <v>0</v>
      </c>
      <c r="J110">
        <f>IF(Datos!E110&gt;=4,1,0)</f>
        <v>0</v>
      </c>
    </row>
    <row r="111" spans="9:10" x14ac:dyDescent="0.2">
      <c r="I111">
        <f>IF(Datos!D111&lt;8,1,0)</f>
        <v>0</v>
      </c>
      <c r="J111">
        <f>IF(Datos!E111&gt;=4,1,0)</f>
        <v>1</v>
      </c>
    </row>
    <row r="112" spans="9:10" x14ac:dyDescent="0.2">
      <c r="I112">
        <f>IF(Datos!D112&lt;8,1,0)</f>
        <v>0</v>
      </c>
      <c r="J112">
        <f>IF(Datos!E112&gt;=4,1,0)</f>
        <v>1</v>
      </c>
    </row>
    <row r="113" spans="9:10" x14ac:dyDescent="0.2">
      <c r="I113">
        <f>IF(Datos!D113&lt;8,1,0)</f>
        <v>0</v>
      </c>
      <c r="J113">
        <f>IF(Datos!E113&gt;=4,1,0)</f>
        <v>0</v>
      </c>
    </row>
    <row r="114" spans="9:10" x14ac:dyDescent="0.2">
      <c r="I114">
        <f>IF(Datos!D114&lt;8,1,0)</f>
        <v>0</v>
      </c>
      <c r="J114">
        <f>IF(Datos!E114&gt;=4,1,0)</f>
        <v>1</v>
      </c>
    </row>
    <row r="115" spans="9:10" x14ac:dyDescent="0.2">
      <c r="I115">
        <f>IF(Datos!D115&lt;8,1,0)</f>
        <v>0</v>
      </c>
      <c r="J115">
        <f>IF(Datos!E115&gt;=4,1,0)</f>
        <v>1</v>
      </c>
    </row>
    <row r="116" spans="9:10" x14ac:dyDescent="0.2">
      <c r="I116">
        <f>IF(Datos!D116&lt;8,1,0)</f>
        <v>0</v>
      </c>
      <c r="J116">
        <f>IF(Datos!E116&gt;=4,1,0)</f>
        <v>0</v>
      </c>
    </row>
    <row r="117" spans="9:10" x14ac:dyDescent="0.2">
      <c r="I117">
        <f>IF(Datos!D117&lt;8,1,0)</f>
        <v>0</v>
      </c>
      <c r="J117">
        <f>IF(Datos!E117&gt;=4,1,0)</f>
        <v>1</v>
      </c>
    </row>
    <row r="118" spans="9:10" x14ac:dyDescent="0.2">
      <c r="I118">
        <f>IF(Datos!D118&lt;8,1,0)</f>
        <v>0</v>
      </c>
      <c r="J118">
        <f>IF(Datos!E118&gt;=4,1,0)</f>
        <v>0</v>
      </c>
    </row>
    <row r="119" spans="9:10" x14ac:dyDescent="0.2">
      <c r="I119">
        <f>IF(Datos!D119&lt;8,1,0)</f>
        <v>0</v>
      </c>
      <c r="J119">
        <f>IF(Datos!E119&gt;=4,1,0)</f>
        <v>1</v>
      </c>
    </row>
    <row r="120" spans="9:10" x14ac:dyDescent="0.2">
      <c r="I120">
        <f>IF(Datos!D120&lt;8,1,0)</f>
        <v>0</v>
      </c>
      <c r="J120">
        <f>IF(Datos!E120&gt;=4,1,0)</f>
        <v>0</v>
      </c>
    </row>
    <row r="121" spans="9:10" x14ac:dyDescent="0.2">
      <c r="I121">
        <f>IF(Datos!D121&lt;8,1,0)</f>
        <v>0</v>
      </c>
      <c r="J121">
        <f>IF(Datos!E121&gt;=4,1,0)</f>
        <v>0</v>
      </c>
    </row>
    <row r="122" spans="9:10" x14ac:dyDescent="0.2">
      <c r="I122">
        <f>IF(Datos!D122&lt;8,1,0)</f>
        <v>0</v>
      </c>
      <c r="J122">
        <f>IF(Datos!E122&gt;=4,1,0)</f>
        <v>0</v>
      </c>
    </row>
    <row r="123" spans="9:10" x14ac:dyDescent="0.2">
      <c r="I123">
        <f>IF(Datos!D123&lt;8,1,0)</f>
        <v>0</v>
      </c>
      <c r="J123">
        <f>IF(Datos!E123&gt;=4,1,0)</f>
        <v>1</v>
      </c>
    </row>
    <row r="124" spans="9:10" x14ac:dyDescent="0.2">
      <c r="I124">
        <f>IF(Datos!D124&lt;8,1,0)</f>
        <v>0</v>
      </c>
      <c r="J124">
        <f>IF(Datos!E124&gt;=4,1,0)</f>
        <v>1</v>
      </c>
    </row>
    <row r="125" spans="9:10" x14ac:dyDescent="0.2">
      <c r="I125">
        <f>IF(Datos!D125&lt;8,1,0)</f>
        <v>0</v>
      </c>
      <c r="J125">
        <f>IF(Datos!E125&gt;=4,1,0)</f>
        <v>0</v>
      </c>
    </row>
    <row r="126" spans="9:10" x14ac:dyDescent="0.2">
      <c r="I126">
        <f>IF(Datos!D126&lt;8,1,0)</f>
        <v>0</v>
      </c>
      <c r="J126">
        <f>IF(Datos!E126&gt;=4,1,0)</f>
        <v>1</v>
      </c>
    </row>
    <row r="127" spans="9:10" x14ac:dyDescent="0.2">
      <c r="I127">
        <f>IF(Datos!D127&lt;8,1,0)</f>
        <v>0</v>
      </c>
      <c r="J127">
        <f>IF(Datos!E127&gt;=4,1,0)</f>
        <v>0</v>
      </c>
    </row>
    <row r="128" spans="9:10" x14ac:dyDescent="0.2">
      <c r="I128">
        <f>IF(Datos!D128&lt;8,1,0)</f>
        <v>0</v>
      </c>
      <c r="J128">
        <f>IF(Datos!E128&gt;=4,1,0)</f>
        <v>1</v>
      </c>
    </row>
    <row r="129" spans="9:10" x14ac:dyDescent="0.2">
      <c r="I129">
        <f>IF(Datos!D129&lt;8,1,0)</f>
        <v>0</v>
      </c>
      <c r="J129">
        <f>IF(Datos!E129&gt;=4,1,0)</f>
        <v>0</v>
      </c>
    </row>
    <row r="130" spans="9:10" x14ac:dyDescent="0.2">
      <c r="I130">
        <f>IF(Datos!D130&lt;8,1,0)</f>
        <v>0</v>
      </c>
      <c r="J130">
        <f>IF(Datos!E130&gt;=4,1,0)</f>
        <v>0</v>
      </c>
    </row>
    <row r="131" spans="9:10" x14ac:dyDescent="0.2">
      <c r="I131">
        <f>IF(Datos!D131&lt;8,1,0)</f>
        <v>0</v>
      </c>
      <c r="J131">
        <f>IF(Datos!E131&gt;=4,1,0)</f>
        <v>1</v>
      </c>
    </row>
    <row r="132" spans="9:10" x14ac:dyDescent="0.2">
      <c r="I132">
        <f>IF(Datos!D132&lt;8,1,0)</f>
        <v>0</v>
      </c>
      <c r="J132">
        <f>IF(Datos!E132&gt;=4,1,0)</f>
        <v>0</v>
      </c>
    </row>
    <row r="133" spans="9:10" x14ac:dyDescent="0.2">
      <c r="I133">
        <f>IF(Datos!D133&lt;8,1,0)</f>
        <v>0</v>
      </c>
      <c r="J133">
        <f>IF(Datos!E133&gt;=4,1,0)</f>
        <v>1</v>
      </c>
    </row>
    <row r="134" spans="9:10" x14ac:dyDescent="0.2">
      <c r="I134">
        <f>IF(Datos!D134&lt;8,1,0)</f>
        <v>0</v>
      </c>
      <c r="J134">
        <f>IF(Datos!E134&gt;=4,1,0)</f>
        <v>1</v>
      </c>
    </row>
    <row r="135" spans="9:10" x14ac:dyDescent="0.2">
      <c r="I135">
        <f>IF(Datos!D135&lt;8,1,0)</f>
        <v>0</v>
      </c>
      <c r="J135">
        <f>IF(Datos!E135&gt;=4,1,0)</f>
        <v>0</v>
      </c>
    </row>
    <row r="136" spans="9:10" x14ac:dyDescent="0.2">
      <c r="I136">
        <f>IF(Datos!D136&lt;8,1,0)</f>
        <v>0</v>
      </c>
      <c r="J136">
        <f>IF(Datos!E136&gt;=4,1,0)</f>
        <v>1</v>
      </c>
    </row>
    <row r="137" spans="9:10" x14ac:dyDescent="0.2">
      <c r="I137">
        <f>IF(Datos!D137&lt;8,1,0)</f>
        <v>0</v>
      </c>
      <c r="J137">
        <f>IF(Datos!E137&gt;=4,1,0)</f>
        <v>0</v>
      </c>
    </row>
    <row r="138" spans="9:10" x14ac:dyDescent="0.2">
      <c r="I138">
        <f>IF(Datos!D138&lt;8,1,0)</f>
        <v>0</v>
      </c>
      <c r="J138">
        <f>IF(Datos!E138&gt;=4,1,0)</f>
        <v>1</v>
      </c>
    </row>
    <row r="139" spans="9:10" x14ac:dyDescent="0.2">
      <c r="I139">
        <f>IF(Datos!D139&lt;8,1,0)</f>
        <v>1</v>
      </c>
      <c r="J139">
        <f>IF(Datos!E139&gt;=4,1,0)</f>
        <v>1</v>
      </c>
    </row>
    <row r="140" spans="9:10" x14ac:dyDescent="0.2">
      <c r="I140">
        <f>IF(Datos!D140&lt;8,1,0)</f>
        <v>0</v>
      </c>
      <c r="J140">
        <f>IF(Datos!E140&gt;=4,1,0)</f>
        <v>0</v>
      </c>
    </row>
    <row r="141" spans="9:10" x14ac:dyDescent="0.2">
      <c r="I141">
        <f>IF(Datos!D141&lt;8,1,0)</f>
        <v>0</v>
      </c>
      <c r="J141">
        <f>IF(Datos!E141&gt;=4,1,0)</f>
        <v>0</v>
      </c>
    </row>
    <row r="142" spans="9:10" x14ac:dyDescent="0.2">
      <c r="I142">
        <f>IF(Datos!D142&lt;8,1,0)</f>
        <v>0</v>
      </c>
      <c r="J142">
        <f>IF(Datos!E142&gt;=4,1,0)</f>
        <v>1</v>
      </c>
    </row>
    <row r="143" spans="9:10" x14ac:dyDescent="0.2">
      <c r="I143">
        <f>IF(Datos!D143&lt;8,1,0)</f>
        <v>0</v>
      </c>
      <c r="J143">
        <f>IF(Datos!E143&gt;=4,1,0)</f>
        <v>1</v>
      </c>
    </row>
    <row r="144" spans="9:10" x14ac:dyDescent="0.2">
      <c r="I144">
        <f>IF(Datos!D144&lt;8,1,0)</f>
        <v>0</v>
      </c>
      <c r="J144">
        <f>IF(Datos!E144&gt;=4,1,0)</f>
        <v>1</v>
      </c>
    </row>
    <row r="145" spans="9:10" x14ac:dyDescent="0.2">
      <c r="I145">
        <f>IF(Datos!D145&lt;8,1,0)</f>
        <v>0</v>
      </c>
      <c r="J145">
        <f>IF(Datos!E145&gt;=4,1,0)</f>
        <v>0</v>
      </c>
    </row>
    <row r="146" spans="9:10" x14ac:dyDescent="0.2">
      <c r="I146">
        <f>IF(Datos!D146&lt;8,1,0)</f>
        <v>0</v>
      </c>
      <c r="J146">
        <f>IF(Datos!E146&gt;=4,1,0)</f>
        <v>1</v>
      </c>
    </row>
    <row r="147" spans="9:10" x14ac:dyDescent="0.2">
      <c r="I147">
        <f>IF(Datos!D147&lt;8,1,0)</f>
        <v>0</v>
      </c>
      <c r="J147">
        <f>IF(Datos!E147&gt;=4,1,0)</f>
        <v>1</v>
      </c>
    </row>
    <row r="148" spans="9:10" x14ac:dyDescent="0.2">
      <c r="I148">
        <f>IF(Datos!D148&lt;8,1,0)</f>
        <v>0</v>
      </c>
      <c r="J148">
        <f>IF(Datos!E148&gt;=4,1,0)</f>
        <v>1</v>
      </c>
    </row>
    <row r="149" spans="9:10" x14ac:dyDescent="0.2">
      <c r="I149">
        <f>IF(Datos!D149&lt;8,1,0)</f>
        <v>0</v>
      </c>
      <c r="J149">
        <f>IF(Datos!E149&gt;=4,1,0)</f>
        <v>1</v>
      </c>
    </row>
    <row r="150" spans="9:10" x14ac:dyDescent="0.2">
      <c r="I150">
        <f>IF(Datos!D150&lt;8,1,0)</f>
        <v>0</v>
      </c>
      <c r="J150">
        <f>IF(Datos!E150&gt;=4,1,0)</f>
        <v>1</v>
      </c>
    </row>
    <row r="151" spans="9:10" x14ac:dyDescent="0.2">
      <c r="I151">
        <f>IF(Datos!D151&lt;8,1,0)</f>
        <v>0</v>
      </c>
      <c r="J151">
        <f>IF(Datos!E151&gt;=4,1,0)</f>
        <v>1</v>
      </c>
    </row>
    <row r="152" spans="9:10" x14ac:dyDescent="0.2">
      <c r="I152">
        <f>IF(Datos!D152&lt;8,1,0)</f>
        <v>0</v>
      </c>
      <c r="J152">
        <f>IF(Datos!E152&gt;=4,1,0)</f>
        <v>1</v>
      </c>
    </row>
    <row r="153" spans="9:10" x14ac:dyDescent="0.2">
      <c r="I153">
        <f>IF(Datos!D153&lt;8,1,0)</f>
        <v>0</v>
      </c>
      <c r="J153">
        <f>IF(Datos!E153&gt;=4,1,0)</f>
        <v>1</v>
      </c>
    </row>
    <row r="154" spans="9:10" x14ac:dyDescent="0.2">
      <c r="I154">
        <f>IF(Datos!D154&lt;8,1,0)</f>
        <v>0</v>
      </c>
      <c r="J154">
        <f>IF(Datos!E154&gt;=4,1,0)</f>
        <v>1</v>
      </c>
    </row>
    <row r="155" spans="9:10" x14ac:dyDescent="0.2">
      <c r="I155">
        <f>IF(Datos!D155&lt;8,1,0)</f>
        <v>0</v>
      </c>
      <c r="J155">
        <f>IF(Datos!E155&gt;=4,1,0)</f>
        <v>1</v>
      </c>
    </row>
    <row r="156" spans="9:10" x14ac:dyDescent="0.2">
      <c r="I156">
        <f>IF(Datos!D156&lt;8,1,0)</f>
        <v>0</v>
      </c>
      <c r="J156">
        <f>IF(Datos!E156&gt;=4,1,0)</f>
        <v>1</v>
      </c>
    </row>
    <row r="157" spans="9:10" x14ac:dyDescent="0.2">
      <c r="I157">
        <f>IF(Datos!D157&lt;8,1,0)</f>
        <v>0</v>
      </c>
      <c r="J157">
        <f>IF(Datos!E157&gt;=4,1,0)</f>
        <v>1</v>
      </c>
    </row>
    <row r="158" spans="9:10" x14ac:dyDescent="0.2">
      <c r="I158">
        <f>IF(Datos!D158&lt;8,1,0)</f>
        <v>0</v>
      </c>
      <c r="J158">
        <f>IF(Datos!E158&gt;=4,1,0)</f>
        <v>1</v>
      </c>
    </row>
    <row r="159" spans="9:10" x14ac:dyDescent="0.2">
      <c r="I159">
        <f>IF(Datos!D159&lt;8,1,0)</f>
        <v>0</v>
      </c>
      <c r="J159">
        <f>IF(Datos!E159&gt;=4,1,0)</f>
        <v>1</v>
      </c>
    </row>
    <row r="160" spans="9:10" x14ac:dyDescent="0.2">
      <c r="I160">
        <f>IF(Datos!D160&lt;8,1,0)</f>
        <v>0</v>
      </c>
      <c r="J160">
        <f>IF(Datos!E160&gt;=4,1,0)</f>
        <v>1</v>
      </c>
    </row>
    <row r="161" spans="9:10" x14ac:dyDescent="0.2">
      <c r="I161">
        <f>IF(Datos!D161&lt;8,1,0)</f>
        <v>0</v>
      </c>
      <c r="J161">
        <f>IF(Datos!E161&gt;=4,1,0)</f>
        <v>1</v>
      </c>
    </row>
    <row r="162" spans="9:10" x14ac:dyDescent="0.2">
      <c r="I162">
        <f>IF(Datos!D162&lt;8,1,0)</f>
        <v>0</v>
      </c>
      <c r="J162">
        <f>IF(Datos!E162&gt;=4,1,0)</f>
        <v>0</v>
      </c>
    </row>
    <row r="163" spans="9:10" x14ac:dyDescent="0.2">
      <c r="I163">
        <f>IF(Datos!D163&lt;8,1,0)</f>
        <v>0</v>
      </c>
      <c r="J163">
        <f>IF(Datos!E163&gt;=4,1,0)</f>
        <v>0</v>
      </c>
    </row>
    <row r="164" spans="9:10" x14ac:dyDescent="0.2">
      <c r="I164">
        <f>IF(Datos!D164&lt;8,1,0)</f>
        <v>0</v>
      </c>
      <c r="J164">
        <f>IF(Datos!E164&gt;=4,1,0)</f>
        <v>0</v>
      </c>
    </row>
    <row r="165" spans="9:10" x14ac:dyDescent="0.2">
      <c r="I165">
        <f>IF(Datos!D165&lt;8,1,0)</f>
        <v>0</v>
      </c>
      <c r="J165">
        <f>IF(Datos!E165&gt;=4,1,0)</f>
        <v>1</v>
      </c>
    </row>
    <row r="166" spans="9:10" x14ac:dyDescent="0.2">
      <c r="I166">
        <f>IF(Datos!D166&lt;8,1,0)</f>
        <v>0</v>
      </c>
      <c r="J166">
        <f>IF(Datos!E166&gt;=4,1,0)</f>
        <v>1</v>
      </c>
    </row>
    <row r="167" spans="9:10" x14ac:dyDescent="0.2">
      <c r="I167">
        <f>IF(Datos!D167&lt;8,1,0)</f>
        <v>0</v>
      </c>
      <c r="J167">
        <f>IF(Datos!E167&gt;=4,1,0)</f>
        <v>1</v>
      </c>
    </row>
    <row r="168" spans="9:10" x14ac:dyDescent="0.2">
      <c r="I168">
        <f>IF(Datos!D168&lt;8,1,0)</f>
        <v>0</v>
      </c>
      <c r="J168">
        <f>IF(Datos!E168&gt;=4,1,0)</f>
        <v>1</v>
      </c>
    </row>
    <row r="169" spans="9:10" x14ac:dyDescent="0.2">
      <c r="I169">
        <f>IF(Datos!D169&lt;8,1,0)</f>
        <v>0</v>
      </c>
      <c r="J169">
        <f>IF(Datos!E169&gt;=4,1,0)</f>
        <v>1</v>
      </c>
    </row>
    <row r="170" spans="9:10" x14ac:dyDescent="0.2">
      <c r="I170">
        <f>IF(Datos!D170&lt;8,1,0)</f>
        <v>0</v>
      </c>
      <c r="J170">
        <f>IF(Datos!E170&gt;=4,1,0)</f>
        <v>1</v>
      </c>
    </row>
    <row r="171" spans="9:10" x14ac:dyDescent="0.2">
      <c r="I171">
        <f>IF(Datos!D171&lt;8,1,0)</f>
        <v>0</v>
      </c>
      <c r="J171">
        <f>IF(Datos!E171&gt;=4,1,0)</f>
        <v>0</v>
      </c>
    </row>
    <row r="172" spans="9:10" x14ac:dyDescent="0.2">
      <c r="I172">
        <f>IF(Datos!D172&lt;8,1,0)</f>
        <v>0</v>
      </c>
      <c r="J172">
        <f>IF(Datos!E172&gt;=4,1,0)</f>
        <v>1</v>
      </c>
    </row>
    <row r="173" spans="9:10" x14ac:dyDescent="0.2">
      <c r="I173">
        <f>IF(Datos!D173&lt;8,1,0)</f>
        <v>0</v>
      </c>
      <c r="J173">
        <f>IF(Datos!E173&gt;=4,1,0)</f>
        <v>1</v>
      </c>
    </row>
    <row r="174" spans="9:10" x14ac:dyDescent="0.2">
      <c r="I174">
        <f>IF(Datos!D174&lt;8,1,0)</f>
        <v>0</v>
      </c>
      <c r="J174">
        <f>IF(Datos!E174&gt;=4,1,0)</f>
        <v>0</v>
      </c>
    </row>
    <row r="175" spans="9:10" x14ac:dyDescent="0.2">
      <c r="I175">
        <f>IF(Datos!D175&lt;8,1,0)</f>
        <v>0</v>
      </c>
      <c r="J175">
        <f>IF(Datos!E175&gt;=4,1,0)</f>
        <v>1</v>
      </c>
    </row>
    <row r="176" spans="9:10" x14ac:dyDescent="0.2">
      <c r="I176">
        <f>IF(Datos!D176&lt;8,1,0)</f>
        <v>0</v>
      </c>
      <c r="J176">
        <f>IF(Datos!E176&gt;=4,1,0)</f>
        <v>1</v>
      </c>
    </row>
    <row r="177" spans="9:10" x14ac:dyDescent="0.2">
      <c r="I177">
        <f>IF(Datos!D177&lt;8,1,0)</f>
        <v>0</v>
      </c>
      <c r="J177">
        <f>IF(Datos!E177&gt;=4,1,0)</f>
        <v>1</v>
      </c>
    </row>
    <row r="178" spans="9:10" x14ac:dyDescent="0.2">
      <c r="I178">
        <f>IF(Datos!D178&lt;8,1,0)</f>
        <v>0</v>
      </c>
      <c r="J178">
        <f>IF(Datos!E178&gt;=4,1,0)</f>
        <v>1</v>
      </c>
    </row>
    <row r="179" spans="9:10" x14ac:dyDescent="0.2">
      <c r="I179">
        <f>IF(Datos!D179&lt;8,1,0)</f>
        <v>0</v>
      </c>
      <c r="J179">
        <f>IF(Datos!E179&gt;=4,1,0)</f>
        <v>1</v>
      </c>
    </row>
    <row r="180" spans="9:10" x14ac:dyDescent="0.2">
      <c r="I180">
        <f>IF(Datos!D180&lt;8,1,0)</f>
        <v>0</v>
      </c>
      <c r="J180">
        <f>IF(Datos!E180&gt;=4,1,0)</f>
        <v>1</v>
      </c>
    </row>
    <row r="181" spans="9:10" x14ac:dyDescent="0.2">
      <c r="I181">
        <f>IF(Datos!D181&lt;8,1,0)</f>
        <v>0</v>
      </c>
      <c r="J181">
        <f>IF(Datos!E181&gt;=4,1,0)</f>
        <v>1</v>
      </c>
    </row>
    <row r="182" spans="9:10" x14ac:dyDescent="0.2">
      <c r="I182">
        <f>IF(Datos!D182&lt;8,1,0)</f>
        <v>0</v>
      </c>
      <c r="J182">
        <f>IF(Datos!E182&gt;=4,1,0)</f>
        <v>1</v>
      </c>
    </row>
    <row r="183" spans="9:10" x14ac:dyDescent="0.2">
      <c r="I183">
        <f>IF(Datos!D183&lt;8,1,0)</f>
        <v>0</v>
      </c>
      <c r="J183">
        <f>IF(Datos!E183&gt;=4,1,0)</f>
        <v>0</v>
      </c>
    </row>
    <row r="184" spans="9:10" x14ac:dyDescent="0.2">
      <c r="I184">
        <f>IF(Datos!D184&lt;8,1,0)</f>
        <v>0</v>
      </c>
      <c r="J184">
        <f>IF(Datos!E184&gt;=4,1,0)</f>
        <v>1</v>
      </c>
    </row>
    <row r="185" spans="9:10" x14ac:dyDescent="0.2">
      <c r="I185">
        <f>IF(Datos!D185&lt;8,1,0)</f>
        <v>0</v>
      </c>
      <c r="J185">
        <f>IF(Datos!E185&gt;=4,1,0)</f>
        <v>0</v>
      </c>
    </row>
    <row r="186" spans="9:10" x14ac:dyDescent="0.2">
      <c r="I186">
        <f>IF(Datos!D186&lt;8,1,0)</f>
        <v>0</v>
      </c>
      <c r="J186">
        <f>IF(Datos!E186&gt;=4,1,0)</f>
        <v>1</v>
      </c>
    </row>
    <row r="187" spans="9:10" x14ac:dyDescent="0.2">
      <c r="I187">
        <f>IF(Datos!D187&lt;8,1,0)</f>
        <v>0</v>
      </c>
      <c r="J187">
        <f>IF(Datos!E187&gt;=4,1,0)</f>
        <v>1</v>
      </c>
    </row>
    <row r="188" spans="9:10" x14ac:dyDescent="0.2">
      <c r="I188">
        <f>IF(Datos!D188&lt;8,1,0)</f>
        <v>0</v>
      </c>
      <c r="J188">
        <f>IF(Datos!E188&gt;=4,1,0)</f>
        <v>1</v>
      </c>
    </row>
    <row r="189" spans="9:10" x14ac:dyDescent="0.2">
      <c r="I189">
        <f>IF(Datos!D189&lt;8,1,0)</f>
        <v>0</v>
      </c>
      <c r="J189">
        <f>IF(Datos!E189&gt;=4,1,0)</f>
        <v>1</v>
      </c>
    </row>
    <row r="190" spans="9:10" x14ac:dyDescent="0.2">
      <c r="I190">
        <f>IF(Datos!D190&lt;8,1,0)</f>
        <v>0</v>
      </c>
      <c r="J190">
        <f>IF(Datos!E190&gt;=4,1,0)</f>
        <v>1</v>
      </c>
    </row>
    <row r="191" spans="9:10" x14ac:dyDescent="0.2">
      <c r="I191">
        <f>IF(Datos!D191&lt;8,1,0)</f>
        <v>0</v>
      </c>
      <c r="J191">
        <f>IF(Datos!E191&gt;=4,1,0)</f>
        <v>0</v>
      </c>
    </row>
    <row r="192" spans="9:10" x14ac:dyDescent="0.2">
      <c r="I192">
        <f>IF(Datos!D192&lt;8,1,0)</f>
        <v>0</v>
      </c>
      <c r="J192">
        <f>IF(Datos!E192&gt;=4,1,0)</f>
        <v>1</v>
      </c>
    </row>
    <row r="193" spans="9:10" x14ac:dyDescent="0.2">
      <c r="I193">
        <f>IF(Datos!D193&lt;8,1,0)</f>
        <v>0</v>
      </c>
      <c r="J193">
        <f>IF(Datos!E193&gt;=4,1,0)</f>
        <v>0</v>
      </c>
    </row>
    <row r="194" spans="9:10" x14ac:dyDescent="0.2">
      <c r="I194">
        <f>IF(Datos!D194&lt;8,1,0)</f>
        <v>1</v>
      </c>
      <c r="J194">
        <f>IF(Datos!E194&gt;=4,1,0)</f>
        <v>1</v>
      </c>
    </row>
    <row r="195" spans="9:10" x14ac:dyDescent="0.2">
      <c r="I195">
        <f>IF(Datos!D195&lt;8,1,0)</f>
        <v>0</v>
      </c>
      <c r="J195">
        <f>IF(Datos!E195&gt;=4,1,0)</f>
        <v>1</v>
      </c>
    </row>
    <row r="196" spans="9:10" x14ac:dyDescent="0.2">
      <c r="I196">
        <f>IF(Datos!D196&lt;8,1,0)</f>
        <v>1</v>
      </c>
      <c r="J196">
        <f>IF(Datos!E196&gt;=4,1,0)</f>
        <v>1</v>
      </c>
    </row>
    <row r="197" spans="9:10" x14ac:dyDescent="0.2">
      <c r="I197">
        <f>IF(Datos!D197&lt;8,1,0)</f>
        <v>0</v>
      </c>
      <c r="J197">
        <f>IF(Datos!E197&gt;=4,1,0)</f>
        <v>0</v>
      </c>
    </row>
    <row r="198" spans="9:10" x14ac:dyDescent="0.2">
      <c r="I198">
        <f>IF(Datos!D198&lt;8,1,0)</f>
        <v>0</v>
      </c>
      <c r="J198">
        <f>IF(Datos!E198&gt;=4,1,0)</f>
        <v>1</v>
      </c>
    </row>
    <row r="199" spans="9:10" x14ac:dyDescent="0.2">
      <c r="I199">
        <f>IF(Datos!D199&lt;8,1,0)</f>
        <v>0</v>
      </c>
      <c r="J199">
        <f>IF(Datos!E199&gt;=4,1,0)</f>
        <v>1</v>
      </c>
    </row>
    <row r="200" spans="9:10" x14ac:dyDescent="0.2">
      <c r="I200">
        <f>IF(Datos!D200&lt;8,1,0)</f>
        <v>1</v>
      </c>
      <c r="J200">
        <f>IF(Datos!E200&gt;=4,1,0)</f>
        <v>1</v>
      </c>
    </row>
    <row r="201" spans="9:10" x14ac:dyDescent="0.2">
      <c r="I201">
        <f>IF(Datos!D201&lt;8,1,0)</f>
        <v>0</v>
      </c>
      <c r="J201">
        <f>IF(Datos!E201&gt;=4,1,0)</f>
        <v>1</v>
      </c>
    </row>
    <row r="202" spans="9:10" x14ac:dyDescent="0.2">
      <c r="I202">
        <f>IF(Datos!D202&lt;8,1,0)</f>
        <v>0</v>
      </c>
      <c r="J202">
        <f>IF(Datos!E202&gt;=4,1,0)</f>
        <v>0</v>
      </c>
    </row>
    <row r="203" spans="9:10" x14ac:dyDescent="0.2">
      <c r="I203">
        <f>IF(Datos!D203&lt;8,1,0)</f>
        <v>1</v>
      </c>
      <c r="J203">
        <f>IF(Datos!E203&gt;=4,1,0)</f>
        <v>1</v>
      </c>
    </row>
    <row r="204" spans="9:10" x14ac:dyDescent="0.2">
      <c r="I204">
        <f>IF(Datos!D204&lt;8,1,0)</f>
        <v>0</v>
      </c>
      <c r="J204">
        <f>IF(Datos!E204&gt;=4,1,0)</f>
        <v>1</v>
      </c>
    </row>
    <row r="205" spans="9:10" x14ac:dyDescent="0.2">
      <c r="I205">
        <f>IF(Datos!D205&lt;8,1,0)</f>
        <v>0</v>
      </c>
      <c r="J205">
        <f>IF(Datos!E205&gt;=4,1,0)</f>
        <v>1</v>
      </c>
    </row>
    <row r="206" spans="9:10" x14ac:dyDescent="0.2">
      <c r="I206">
        <f>IF(Datos!D206&lt;8,1,0)</f>
        <v>0</v>
      </c>
      <c r="J206">
        <f>IF(Datos!E206&gt;=4,1,0)</f>
        <v>1</v>
      </c>
    </row>
    <row r="207" spans="9:10" x14ac:dyDescent="0.2">
      <c r="I207">
        <f>IF(Datos!D207&lt;8,1,0)</f>
        <v>0</v>
      </c>
      <c r="J207">
        <f>IF(Datos!E207&gt;=4,1,0)</f>
        <v>0</v>
      </c>
    </row>
    <row r="208" spans="9:10" x14ac:dyDescent="0.2">
      <c r="I208">
        <f>IF(Datos!D208&lt;8,1,0)</f>
        <v>0</v>
      </c>
      <c r="J208">
        <f>IF(Datos!E208&gt;=4,1,0)</f>
        <v>0</v>
      </c>
    </row>
    <row r="209" spans="9:10" x14ac:dyDescent="0.2">
      <c r="I209">
        <f>IF(Datos!D209&lt;8,1,0)</f>
        <v>0</v>
      </c>
      <c r="J209">
        <f>IF(Datos!E209&gt;=4,1,0)</f>
        <v>1</v>
      </c>
    </row>
    <row r="210" spans="9:10" x14ac:dyDescent="0.2">
      <c r="I210">
        <f>IF(Datos!D210&lt;8,1,0)</f>
        <v>0</v>
      </c>
      <c r="J210">
        <f>IF(Datos!E210&gt;=4,1,0)</f>
        <v>1</v>
      </c>
    </row>
    <row r="211" spans="9:10" x14ac:dyDescent="0.2">
      <c r="I211">
        <f>IF(Datos!D211&lt;8,1,0)</f>
        <v>0</v>
      </c>
      <c r="J211">
        <f>IF(Datos!E211&gt;=4,1,0)</f>
        <v>0</v>
      </c>
    </row>
    <row r="212" spans="9:10" x14ac:dyDescent="0.2">
      <c r="I212">
        <f>IF(Datos!D212&lt;8,1,0)</f>
        <v>0</v>
      </c>
      <c r="J212">
        <f>IF(Datos!E212&gt;=4,1,0)</f>
        <v>1</v>
      </c>
    </row>
    <row r="213" spans="9:10" x14ac:dyDescent="0.2">
      <c r="I213">
        <f>IF(Datos!D213&lt;8,1,0)</f>
        <v>0</v>
      </c>
      <c r="J213">
        <f>IF(Datos!E213&gt;=4,1,0)</f>
        <v>1</v>
      </c>
    </row>
    <row r="214" spans="9:10" x14ac:dyDescent="0.2">
      <c r="I214">
        <f>IF(Datos!D214&lt;8,1,0)</f>
        <v>0</v>
      </c>
      <c r="J214">
        <f>IF(Datos!E214&gt;=4,1,0)</f>
        <v>1</v>
      </c>
    </row>
    <row r="215" spans="9:10" x14ac:dyDescent="0.2">
      <c r="I215">
        <f>IF(Datos!D215&lt;8,1,0)</f>
        <v>0</v>
      </c>
      <c r="J215">
        <f>IF(Datos!E215&gt;=4,1,0)</f>
        <v>1</v>
      </c>
    </row>
    <row r="216" spans="9:10" x14ac:dyDescent="0.2">
      <c r="I216">
        <f>IF(Datos!D216&lt;8,1,0)</f>
        <v>0</v>
      </c>
      <c r="J216">
        <f>IF(Datos!E216&gt;=4,1,0)</f>
        <v>1</v>
      </c>
    </row>
    <row r="217" spans="9:10" x14ac:dyDescent="0.2">
      <c r="I217">
        <f>IF(Datos!D217&lt;8,1,0)</f>
        <v>0</v>
      </c>
      <c r="J217">
        <f>IF(Datos!E217&gt;=4,1,0)</f>
        <v>1</v>
      </c>
    </row>
    <row r="218" spans="9:10" x14ac:dyDescent="0.2">
      <c r="I218">
        <f>IF(Datos!D218&lt;8,1,0)</f>
        <v>0</v>
      </c>
      <c r="J218">
        <f>IF(Datos!E218&gt;=4,1,0)</f>
        <v>1</v>
      </c>
    </row>
    <row r="219" spans="9:10" x14ac:dyDescent="0.2">
      <c r="I219">
        <f>IF(Datos!D219&lt;8,1,0)</f>
        <v>0</v>
      </c>
      <c r="J219">
        <f>IF(Datos!E219&gt;=4,1,0)</f>
        <v>1</v>
      </c>
    </row>
    <row r="220" spans="9:10" x14ac:dyDescent="0.2">
      <c r="I220">
        <f>IF(Datos!D220&lt;8,1,0)</f>
        <v>0</v>
      </c>
      <c r="J220">
        <f>IF(Datos!E220&gt;=4,1,0)</f>
        <v>1</v>
      </c>
    </row>
    <row r="221" spans="9:10" x14ac:dyDescent="0.2">
      <c r="I221">
        <f>IF(Datos!D221&lt;8,1,0)</f>
        <v>0</v>
      </c>
      <c r="J221">
        <f>IF(Datos!E221&gt;=4,1,0)</f>
        <v>1</v>
      </c>
    </row>
    <row r="222" spans="9:10" x14ac:dyDescent="0.2">
      <c r="I222">
        <f>IF(Datos!D222&lt;8,1,0)</f>
        <v>0</v>
      </c>
      <c r="J222">
        <f>IF(Datos!E222&gt;=4,1,0)</f>
        <v>0</v>
      </c>
    </row>
    <row r="223" spans="9:10" x14ac:dyDescent="0.2">
      <c r="I223">
        <f>IF(Datos!D223&lt;8,1,0)</f>
        <v>0</v>
      </c>
      <c r="J223">
        <f>IF(Datos!E223&gt;=4,1,0)</f>
        <v>1</v>
      </c>
    </row>
    <row r="224" spans="9:10" x14ac:dyDescent="0.2">
      <c r="I224">
        <f>IF(Datos!D224&lt;8,1,0)</f>
        <v>0</v>
      </c>
      <c r="J224">
        <f>IF(Datos!E224&gt;=4,1,0)</f>
        <v>1</v>
      </c>
    </row>
    <row r="225" spans="9:10" x14ac:dyDescent="0.2">
      <c r="I225">
        <f>IF(Datos!D225&lt;8,1,0)</f>
        <v>0</v>
      </c>
      <c r="J225">
        <f>IF(Datos!E225&gt;=4,1,0)</f>
        <v>0</v>
      </c>
    </row>
    <row r="226" spans="9:10" x14ac:dyDescent="0.2">
      <c r="I226">
        <f>IF(Datos!D226&lt;8,1,0)</f>
        <v>0</v>
      </c>
      <c r="J226">
        <f>IF(Datos!E226&gt;=4,1,0)</f>
        <v>0</v>
      </c>
    </row>
    <row r="227" spans="9:10" x14ac:dyDescent="0.2">
      <c r="I227">
        <f>IF(Datos!D227&lt;8,1,0)</f>
        <v>0</v>
      </c>
      <c r="J227">
        <f>IF(Datos!E227&gt;=4,1,0)</f>
        <v>0</v>
      </c>
    </row>
    <row r="228" spans="9:10" x14ac:dyDescent="0.2">
      <c r="I228">
        <f>IF(Datos!D228&lt;8,1,0)</f>
        <v>1</v>
      </c>
      <c r="J228">
        <f>IF(Datos!E228&gt;=4,1,0)</f>
        <v>1</v>
      </c>
    </row>
    <row r="229" spans="9:10" x14ac:dyDescent="0.2">
      <c r="I229">
        <f>IF(Datos!D229&lt;8,1,0)</f>
        <v>0</v>
      </c>
      <c r="J229">
        <f>IF(Datos!E229&gt;=4,1,0)</f>
        <v>1</v>
      </c>
    </row>
    <row r="230" spans="9:10" x14ac:dyDescent="0.2">
      <c r="I230">
        <f>IF(Datos!D230&lt;8,1,0)</f>
        <v>0</v>
      </c>
      <c r="J230">
        <f>IF(Datos!E230&gt;=4,1,0)</f>
        <v>1</v>
      </c>
    </row>
    <row r="231" spans="9:10" x14ac:dyDescent="0.2">
      <c r="I231">
        <f>IF(Datos!D231&lt;8,1,0)</f>
        <v>0</v>
      </c>
      <c r="J231">
        <f>IF(Datos!E231&gt;=4,1,0)</f>
        <v>1</v>
      </c>
    </row>
    <row r="232" spans="9:10" x14ac:dyDescent="0.2">
      <c r="I232">
        <f>IF(Datos!D232&lt;8,1,0)</f>
        <v>0</v>
      </c>
      <c r="J232">
        <f>IF(Datos!E232&gt;=4,1,0)</f>
        <v>1</v>
      </c>
    </row>
    <row r="233" spans="9:10" x14ac:dyDescent="0.2">
      <c r="I233">
        <f>IF(Datos!D233&lt;8,1,0)</f>
        <v>0</v>
      </c>
      <c r="J233">
        <f>IF(Datos!E233&gt;=4,1,0)</f>
        <v>0</v>
      </c>
    </row>
    <row r="234" spans="9:10" x14ac:dyDescent="0.2">
      <c r="I234">
        <f>IF(Datos!D234&lt;8,1,0)</f>
        <v>0</v>
      </c>
      <c r="J234">
        <f>IF(Datos!E234&gt;=4,1,0)</f>
        <v>0</v>
      </c>
    </row>
    <row r="235" spans="9:10" x14ac:dyDescent="0.2">
      <c r="I235">
        <f>IF(Datos!D235&lt;8,1,0)</f>
        <v>0</v>
      </c>
      <c r="J235">
        <f>IF(Datos!E235&gt;=4,1,0)</f>
        <v>1</v>
      </c>
    </row>
    <row r="236" spans="9:10" x14ac:dyDescent="0.2">
      <c r="I236">
        <f>IF(Datos!D236&lt;8,1,0)</f>
        <v>0</v>
      </c>
      <c r="J236">
        <f>IF(Datos!E236&gt;=4,1,0)</f>
        <v>1</v>
      </c>
    </row>
    <row r="237" spans="9:10" x14ac:dyDescent="0.2">
      <c r="I237">
        <f>IF(Datos!D237&lt;8,1,0)</f>
        <v>0</v>
      </c>
      <c r="J237">
        <f>IF(Datos!E237&gt;=4,1,0)</f>
        <v>1</v>
      </c>
    </row>
    <row r="238" spans="9:10" x14ac:dyDescent="0.2">
      <c r="I238">
        <f>IF(Datos!D238&lt;8,1,0)</f>
        <v>0</v>
      </c>
      <c r="J238">
        <f>IF(Datos!E238&gt;=4,1,0)</f>
        <v>0</v>
      </c>
    </row>
    <row r="239" spans="9:10" x14ac:dyDescent="0.2">
      <c r="I239">
        <f>IF(Datos!D239&lt;8,1,0)</f>
        <v>0</v>
      </c>
      <c r="J239">
        <f>IF(Datos!E239&gt;=4,1,0)</f>
        <v>1</v>
      </c>
    </row>
    <row r="240" spans="9:10" x14ac:dyDescent="0.2">
      <c r="I240">
        <f>IF(Datos!D240&lt;8,1,0)</f>
        <v>0</v>
      </c>
      <c r="J240">
        <f>IF(Datos!E240&gt;=4,1,0)</f>
        <v>0</v>
      </c>
    </row>
    <row r="241" spans="9:10" x14ac:dyDescent="0.2">
      <c r="I241">
        <f>IF(Datos!D241&lt;8,1,0)</f>
        <v>0</v>
      </c>
      <c r="J241">
        <f>IF(Datos!E241&gt;=4,1,0)</f>
        <v>1</v>
      </c>
    </row>
    <row r="242" spans="9:10" x14ac:dyDescent="0.2">
      <c r="I242">
        <f>IF(Datos!D242&lt;8,1,0)</f>
        <v>0</v>
      </c>
      <c r="J242">
        <f>IF(Datos!E242&gt;=4,1,0)</f>
        <v>1</v>
      </c>
    </row>
    <row r="243" spans="9:10" x14ac:dyDescent="0.2">
      <c r="I243">
        <f>IF(Datos!D243&lt;8,1,0)</f>
        <v>0</v>
      </c>
      <c r="J243">
        <f>IF(Datos!E243&gt;=4,1,0)</f>
        <v>0</v>
      </c>
    </row>
    <row r="244" spans="9:10" x14ac:dyDescent="0.2">
      <c r="I244">
        <f>IF(Datos!D244&lt;8,1,0)</f>
        <v>0</v>
      </c>
      <c r="J244">
        <f>IF(Datos!E244&gt;=4,1,0)</f>
        <v>0</v>
      </c>
    </row>
    <row r="245" spans="9:10" x14ac:dyDescent="0.2">
      <c r="I245">
        <f>IF(Datos!D245&lt;8,1,0)</f>
        <v>0</v>
      </c>
      <c r="J245">
        <f>IF(Datos!E245&gt;=4,1,0)</f>
        <v>0</v>
      </c>
    </row>
    <row r="246" spans="9:10" x14ac:dyDescent="0.2">
      <c r="I246">
        <f>IF(Datos!D246&lt;8,1,0)</f>
        <v>0</v>
      </c>
      <c r="J246">
        <f>IF(Datos!E246&gt;=4,1,0)</f>
        <v>1</v>
      </c>
    </row>
    <row r="247" spans="9:10" x14ac:dyDescent="0.2">
      <c r="I247">
        <f>IF(Datos!D247&lt;8,1,0)</f>
        <v>0</v>
      </c>
      <c r="J247">
        <f>IF(Datos!E247&gt;=4,1,0)</f>
        <v>1</v>
      </c>
    </row>
    <row r="248" spans="9:10" x14ac:dyDescent="0.2">
      <c r="I248">
        <f>IF(Datos!D248&lt;8,1,0)</f>
        <v>0</v>
      </c>
      <c r="J248">
        <f>IF(Datos!E248&gt;=4,1,0)</f>
        <v>0</v>
      </c>
    </row>
    <row r="249" spans="9:10" x14ac:dyDescent="0.2">
      <c r="I249">
        <f>IF(Datos!D249&lt;8,1,0)</f>
        <v>0</v>
      </c>
      <c r="J249">
        <f>IF(Datos!E249&gt;=4,1,0)</f>
        <v>1</v>
      </c>
    </row>
    <row r="250" spans="9:10" x14ac:dyDescent="0.2">
      <c r="I250">
        <f>IF(Datos!D250&lt;8,1,0)</f>
        <v>0</v>
      </c>
      <c r="J250">
        <f>IF(Datos!E250&gt;=4,1,0)</f>
        <v>0</v>
      </c>
    </row>
    <row r="251" spans="9:10" x14ac:dyDescent="0.2">
      <c r="I251">
        <f>IF(Datos!D251&lt;8,1,0)</f>
        <v>0</v>
      </c>
      <c r="J251">
        <f>IF(Datos!E251&gt;=4,1,0)</f>
        <v>0</v>
      </c>
    </row>
    <row r="252" spans="9:10" x14ac:dyDescent="0.2">
      <c r="I252">
        <f>IF(Datos!D252&lt;8,1,0)</f>
        <v>0</v>
      </c>
      <c r="J252">
        <f>IF(Datos!E252&gt;=4,1,0)</f>
        <v>1</v>
      </c>
    </row>
    <row r="253" spans="9:10" x14ac:dyDescent="0.2">
      <c r="I253">
        <f>IF(Datos!D253&lt;8,1,0)</f>
        <v>0</v>
      </c>
      <c r="J253">
        <f>IF(Datos!E253&gt;=4,1,0)</f>
        <v>0</v>
      </c>
    </row>
    <row r="254" spans="9:10" x14ac:dyDescent="0.2">
      <c r="I254">
        <f>IF(Datos!D254&lt;8,1,0)</f>
        <v>0</v>
      </c>
      <c r="J254">
        <f>IF(Datos!E254&gt;=4,1,0)</f>
        <v>0</v>
      </c>
    </row>
    <row r="255" spans="9:10" x14ac:dyDescent="0.2">
      <c r="I255">
        <f>IF(Datos!D255&lt;8,1,0)</f>
        <v>0</v>
      </c>
      <c r="J255">
        <f>IF(Datos!E255&gt;=4,1,0)</f>
        <v>0</v>
      </c>
    </row>
    <row r="256" spans="9:10" x14ac:dyDescent="0.2">
      <c r="I256">
        <f>IF(Datos!D256&lt;8,1,0)</f>
        <v>0</v>
      </c>
      <c r="J256">
        <f>IF(Datos!E256&gt;=4,1,0)</f>
        <v>1</v>
      </c>
    </row>
    <row r="257" spans="9:10" x14ac:dyDescent="0.2">
      <c r="I257">
        <f>IF(Datos!D257&lt;8,1,0)</f>
        <v>0</v>
      </c>
      <c r="J257">
        <f>IF(Datos!E257&gt;=4,1,0)</f>
        <v>1</v>
      </c>
    </row>
    <row r="258" spans="9:10" x14ac:dyDescent="0.2">
      <c r="I258">
        <f>IF(Datos!D258&lt;8,1,0)</f>
        <v>0</v>
      </c>
      <c r="J258">
        <f>IF(Datos!E258&gt;=4,1,0)</f>
        <v>0</v>
      </c>
    </row>
    <row r="259" spans="9:10" x14ac:dyDescent="0.2">
      <c r="I259">
        <f>IF(Datos!D259&lt;8,1,0)</f>
        <v>0</v>
      </c>
      <c r="J259">
        <f>IF(Datos!E259&gt;=4,1,0)</f>
        <v>1</v>
      </c>
    </row>
    <row r="260" spans="9:10" x14ac:dyDescent="0.2">
      <c r="I260">
        <f>IF(Datos!D260&lt;8,1,0)</f>
        <v>0</v>
      </c>
      <c r="J260">
        <f>IF(Datos!E260&gt;=4,1,0)</f>
        <v>1</v>
      </c>
    </row>
    <row r="261" spans="9:10" x14ac:dyDescent="0.2">
      <c r="I261">
        <f>IF(Datos!D261&lt;8,1,0)</f>
        <v>0</v>
      </c>
      <c r="J261">
        <f>IF(Datos!E261&gt;=4,1,0)</f>
        <v>1</v>
      </c>
    </row>
    <row r="262" spans="9:10" x14ac:dyDescent="0.2">
      <c r="I262">
        <f>IF(Datos!D262&lt;8,1,0)</f>
        <v>0</v>
      </c>
      <c r="J262">
        <f>IF(Datos!E262&gt;=4,1,0)</f>
        <v>1</v>
      </c>
    </row>
    <row r="263" spans="9:10" x14ac:dyDescent="0.2">
      <c r="I263">
        <f>IF(Datos!D263&lt;8,1,0)</f>
        <v>0</v>
      </c>
      <c r="J263">
        <f>IF(Datos!E263&gt;=4,1,0)</f>
        <v>1</v>
      </c>
    </row>
    <row r="264" spans="9:10" x14ac:dyDescent="0.2">
      <c r="I264">
        <f>IF(Datos!D264&lt;8,1,0)</f>
        <v>0</v>
      </c>
      <c r="J264">
        <f>IF(Datos!E264&gt;=4,1,0)</f>
        <v>0</v>
      </c>
    </row>
    <row r="265" spans="9:10" x14ac:dyDescent="0.2">
      <c r="I265">
        <f>IF(Datos!D265&lt;8,1,0)</f>
        <v>0</v>
      </c>
      <c r="J265">
        <f>IF(Datos!E265&gt;=4,1,0)</f>
        <v>0</v>
      </c>
    </row>
    <row r="266" spans="9:10" x14ac:dyDescent="0.2">
      <c r="I266">
        <f>IF(Datos!D266&lt;8,1,0)</f>
        <v>0</v>
      </c>
      <c r="J266">
        <f>IF(Datos!E266&gt;=4,1,0)</f>
        <v>1</v>
      </c>
    </row>
    <row r="267" spans="9:10" x14ac:dyDescent="0.2">
      <c r="I267">
        <f>IF(Datos!D267&lt;8,1,0)</f>
        <v>0</v>
      </c>
      <c r="J267">
        <f>IF(Datos!E267&gt;=4,1,0)</f>
        <v>0</v>
      </c>
    </row>
    <row r="268" spans="9:10" x14ac:dyDescent="0.2">
      <c r="I268">
        <f>IF(Datos!D268&lt;8,1,0)</f>
        <v>0</v>
      </c>
      <c r="J268">
        <f>IF(Datos!E268&gt;=4,1,0)</f>
        <v>0</v>
      </c>
    </row>
    <row r="269" spans="9:10" x14ac:dyDescent="0.2">
      <c r="I269">
        <f>IF(Datos!D269&lt;8,1,0)</f>
        <v>0</v>
      </c>
      <c r="J269">
        <f>IF(Datos!E269&gt;=4,1,0)</f>
        <v>1</v>
      </c>
    </row>
    <row r="270" spans="9:10" x14ac:dyDescent="0.2">
      <c r="I270">
        <f>IF(Datos!D270&lt;8,1,0)</f>
        <v>0</v>
      </c>
      <c r="J270">
        <f>IF(Datos!E270&gt;=4,1,0)</f>
        <v>1</v>
      </c>
    </row>
    <row r="271" spans="9:10" x14ac:dyDescent="0.2">
      <c r="I271">
        <f>IF(Datos!D271&lt;8,1,0)</f>
        <v>0</v>
      </c>
      <c r="J271">
        <f>IF(Datos!E271&gt;=4,1,0)</f>
        <v>1</v>
      </c>
    </row>
    <row r="272" spans="9:10" x14ac:dyDescent="0.2">
      <c r="I272">
        <f>IF(Datos!D272&lt;8,1,0)</f>
        <v>0</v>
      </c>
      <c r="J272">
        <f>IF(Datos!E272&gt;=4,1,0)</f>
        <v>1</v>
      </c>
    </row>
    <row r="273" spans="9:10" x14ac:dyDescent="0.2">
      <c r="I273">
        <f>IF(Datos!D273&lt;8,1,0)</f>
        <v>0</v>
      </c>
      <c r="J273">
        <f>IF(Datos!E273&gt;=4,1,0)</f>
        <v>1</v>
      </c>
    </row>
    <row r="274" spans="9:10" x14ac:dyDescent="0.2">
      <c r="I274">
        <f>IF(Datos!D274&lt;8,1,0)</f>
        <v>0</v>
      </c>
      <c r="J274">
        <f>IF(Datos!E274&gt;=4,1,0)</f>
        <v>1</v>
      </c>
    </row>
    <row r="275" spans="9:10" x14ac:dyDescent="0.2">
      <c r="I275">
        <f>IF(Datos!D275&lt;8,1,0)</f>
        <v>0</v>
      </c>
      <c r="J275">
        <f>IF(Datos!E275&gt;=4,1,0)</f>
        <v>1</v>
      </c>
    </row>
    <row r="276" spans="9:10" x14ac:dyDescent="0.2">
      <c r="I276">
        <f>IF(Datos!D276&lt;8,1,0)</f>
        <v>0</v>
      </c>
      <c r="J276">
        <f>IF(Datos!E276&gt;=4,1,0)</f>
        <v>1</v>
      </c>
    </row>
    <row r="277" spans="9:10" x14ac:dyDescent="0.2">
      <c r="I277">
        <f>IF(Datos!D277&lt;8,1,0)</f>
        <v>0</v>
      </c>
      <c r="J277">
        <f>IF(Datos!E277&gt;=4,1,0)</f>
        <v>0</v>
      </c>
    </row>
    <row r="278" spans="9:10" x14ac:dyDescent="0.2">
      <c r="I278">
        <f>IF(Datos!D278&lt;8,1,0)</f>
        <v>0</v>
      </c>
      <c r="J278">
        <f>IF(Datos!E278&gt;=4,1,0)</f>
        <v>0</v>
      </c>
    </row>
    <row r="279" spans="9:10" x14ac:dyDescent="0.2">
      <c r="I279">
        <f>IF(Datos!D279&lt;8,1,0)</f>
        <v>0</v>
      </c>
      <c r="J279">
        <f>IF(Datos!E279&gt;=4,1,0)</f>
        <v>1</v>
      </c>
    </row>
    <row r="280" spans="9:10" x14ac:dyDescent="0.2">
      <c r="I280">
        <f>IF(Datos!D280&lt;8,1,0)</f>
        <v>0</v>
      </c>
      <c r="J280">
        <f>IF(Datos!E280&gt;=4,1,0)</f>
        <v>0</v>
      </c>
    </row>
    <row r="281" spans="9:10" x14ac:dyDescent="0.2">
      <c r="I281">
        <f>IF(Datos!D281&lt;8,1,0)</f>
        <v>0</v>
      </c>
      <c r="J281">
        <f>IF(Datos!E281&gt;=4,1,0)</f>
        <v>0</v>
      </c>
    </row>
    <row r="282" spans="9:10" x14ac:dyDescent="0.2">
      <c r="I282">
        <f>IF(Datos!D282&lt;8,1,0)</f>
        <v>0</v>
      </c>
      <c r="J282">
        <f>IF(Datos!E282&gt;=4,1,0)</f>
        <v>0</v>
      </c>
    </row>
    <row r="283" spans="9:10" x14ac:dyDescent="0.2">
      <c r="I283">
        <f>IF(Datos!D283&lt;8,1,0)</f>
        <v>0</v>
      </c>
      <c r="J283">
        <f>IF(Datos!E283&gt;=4,1,0)</f>
        <v>0</v>
      </c>
    </row>
    <row r="284" spans="9:10" x14ac:dyDescent="0.2">
      <c r="I284">
        <f>IF(Datos!D284&lt;8,1,0)</f>
        <v>0</v>
      </c>
      <c r="J284">
        <f>IF(Datos!E284&gt;=4,1,0)</f>
        <v>1</v>
      </c>
    </row>
    <row r="285" spans="9:10" x14ac:dyDescent="0.2">
      <c r="I285">
        <f>IF(Datos!D285&lt;8,1,0)</f>
        <v>0</v>
      </c>
      <c r="J285">
        <f>IF(Datos!E285&gt;=4,1,0)</f>
        <v>1</v>
      </c>
    </row>
    <row r="286" spans="9:10" x14ac:dyDescent="0.2">
      <c r="I286">
        <f>IF(Datos!D286&lt;8,1,0)</f>
        <v>1</v>
      </c>
      <c r="J286">
        <f>IF(Datos!E286&gt;=4,1,0)</f>
        <v>1</v>
      </c>
    </row>
    <row r="287" spans="9:10" x14ac:dyDescent="0.2">
      <c r="I287">
        <f>IF(Datos!D287&lt;8,1,0)</f>
        <v>0</v>
      </c>
      <c r="J287">
        <f>IF(Datos!E287&gt;=4,1,0)</f>
        <v>1</v>
      </c>
    </row>
    <row r="288" spans="9:10" x14ac:dyDescent="0.2">
      <c r="I288">
        <f>IF(Datos!D288&lt;8,1,0)</f>
        <v>0</v>
      </c>
      <c r="J288">
        <f>IF(Datos!E288&gt;=4,1,0)</f>
        <v>1</v>
      </c>
    </row>
    <row r="289" spans="9:10" x14ac:dyDescent="0.2">
      <c r="I289">
        <f>IF(Datos!D289&lt;8,1,0)</f>
        <v>0</v>
      </c>
      <c r="J289">
        <f>IF(Datos!E289&gt;=4,1,0)</f>
        <v>0</v>
      </c>
    </row>
    <row r="290" spans="9:10" x14ac:dyDescent="0.2">
      <c r="I290">
        <f>IF(Datos!D290&lt;8,1,0)</f>
        <v>0</v>
      </c>
      <c r="J290">
        <f>IF(Datos!E290&gt;=4,1,0)</f>
        <v>1</v>
      </c>
    </row>
    <row r="291" spans="9:10" x14ac:dyDescent="0.2">
      <c r="I291">
        <f>IF(Datos!D291&lt;8,1,0)</f>
        <v>0</v>
      </c>
      <c r="J291">
        <f>IF(Datos!E291&gt;=4,1,0)</f>
        <v>1</v>
      </c>
    </row>
    <row r="292" spans="9:10" x14ac:dyDescent="0.2">
      <c r="I292">
        <f>IF(Datos!D292&lt;8,1,0)</f>
        <v>0</v>
      </c>
      <c r="J292">
        <f>IF(Datos!E292&gt;=4,1,0)</f>
        <v>0</v>
      </c>
    </row>
    <row r="293" spans="9:10" x14ac:dyDescent="0.2">
      <c r="I293">
        <f>IF(Datos!D293&lt;8,1,0)</f>
        <v>0</v>
      </c>
      <c r="J293">
        <f>IF(Datos!E293&gt;=4,1,0)</f>
        <v>1</v>
      </c>
    </row>
    <row r="294" spans="9:10" x14ac:dyDescent="0.2">
      <c r="I294">
        <f>IF(Datos!D294&lt;8,1,0)</f>
        <v>0</v>
      </c>
      <c r="J294">
        <f>IF(Datos!E294&gt;=4,1,0)</f>
        <v>0</v>
      </c>
    </row>
    <row r="295" spans="9:10" x14ac:dyDescent="0.2">
      <c r="I295">
        <f>IF(Datos!D295&lt;8,1,0)</f>
        <v>0</v>
      </c>
      <c r="J295">
        <f>IF(Datos!E295&gt;=4,1,0)</f>
        <v>0</v>
      </c>
    </row>
    <row r="296" spans="9:10" x14ac:dyDescent="0.2">
      <c r="I296">
        <f>IF(Datos!D296&lt;8,1,0)</f>
        <v>0</v>
      </c>
      <c r="J296">
        <f>IF(Datos!E296&gt;=4,1,0)</f>
        <v>1</v>
      </c>
    </row>
    <row r="297" spans="9:10" x14ac:dyDescent="0.2">
      <c r="I297">
        <f>IF(Datos!D297&lt;8,1,0)</f>
        <v>0</v>
      </c>
      <c r="J297">
        <f>IF(Datos!E297&gt;=4,1,0)</f>
        <v>1</v>
      </c>
    </row>
    <row r="298" spans="9:10" x14ac:dyDescent="0.2">
      <c r="I298">
        <f>IF(Datos!D298&lt;8,1,0)</f>
        <v>0</v>
      </c>
      <c r="J298">
        <f>IF(Datos!E298&gt;=4,1,0)</f>
        <v>0</v>
      </c>
    </row>
    <row r="299" spans="9:10" x14ac:dyDescent="0.2">
      <c r="I299">
        <f>IF(Datos!D299&lt;8,1,0)</f>
        <v>0</v>
      </c>
      <c r="J299">
        <f>IF(Datos!E299&gt;=4,1,0)</f>
        <v>1</v>
      </c>
    </row>
    <row r="300" spans="9:10" x14ac:dyDescent="0.2">
      <c r="I300">
        <f>IF(Datos!D300&lt;8,1,0)</f>
        <v>0</v>
      </c>
      <c r="J300">
        <f>IF(Datos!E300&gt;=4,1,0)</f>
        <v>0</v>
      </c>
    </row>
    <row r="301" spans="9:10" x14ac:dyDescent="0.2">
      <c r="I301">
        <f>IF(Datos!D301&lt;8,1,0)</f>
        <v>0</v>
      </c>
      <c r="J301">
        <f>IF(Datos!E301&gt;=4,1,0)</f>
        <v>1</v>
      </c>
    </row>
    <row r="302" spans="9:10" x14ac:dyDescent="0.2">
      <c r="I302">
        <f>IF(Datos!D302&lt;8,1,0)</f>
        <v>0</v>
      </c>
      <c r="J302">
        <f>IF(Datos!E302&gt;=4,1,0)</f>
        <v>0</v>
      </c>
    </row>
    <row r="303" spans="9:10" x14ac:dyDescent="0.2">
      <c r="I303">
        <f>IF(Datos!D303&lt;8,1,0)</f>
        <v>0</v>
      </c>
      <c r="J303">
        <f>IF(Datos!E303&gt;=4,1,0)</f>
        <v>0</v>
      </c>
    </row>
    <row r="304" spans="9:10" x14ac:dyDescent="0.2">
      <c r="I304">
        <f>IF(Datos!D304&lt;8,1,0)</f>
        <v>0</v>
      </c>
      <c r="J304">
        <f>IF(Datos!E304&gt;=4,1,0)</f>
        <v>1</v>
      </c>
    </row>
    <row r="305" spans="9:10" x14ac:dyDescent="0.2">
      <c r="I305">
        <f>IF(Datos!D305&lt;8,1,0)</f>
        <v>0</v>
      </c>
      <c r="J305">
        <f>IF(Datos!E305&gt;=4,1,0)</f>
        <v>0</v>
      </c>
    </row>
    <row r="306" spans="9:10" x14ac:dyDescent="0.2">
      <c r="I306">
        <f>IF(Datos!D306&lt;8,1,0)</f>
        <v>0</v>
      </c>
      <c r="J306">
        <f>IF(Datos!E306&gt;=4,1,0)</f>
        <v>1</v>
      </c>
    </row>
    <row r="307" spans="9:10" x14ac:dyDescent="0.2">
      <c r="I307">
        <f>IF(Datos!D307&lt;8,1,0)</f>
        <v>0</v>
      </c>
      <c r="J307">
        <f>IF(Datos!E307&gt;=4,1,0)</f>
        <v>1</v>
      </c>
    </row>
    <row r="308" spans="9:10" x14ac:dyDescent="0.2">
      <c r="I308">
        <f>IF(Datos!D308&lt;8,1,0)</f>
        <v>0</v>
      </c>
      <c r="J308">
        <f>IF(Datos!E308&gt;=4,1,0)</f>
        <v>1</v>
      </c>
    </row>
    <row r="309" spans="9:10" x14ac:dyDescent="0.2">
      <c r="I309">
        <f>IF(Datos!D309&lt;8,1,0)</f>
        <v>0</v>
      </c>
      <c r="J309">
        <f>IF(Datos!E309&gt;=4,1,0)</f>
        <v>0</v>
      </c>
    </row>
    <row r="310" spans="9:10" x14ac:dyDescent="0.2">
      <c r="I310">
        <f>IF(Datos!D310&lt;8,1,0)</f>
        <v>0</v>
      </c>
      <c r="J310">
        <f>IF(Datos!E310&gt;=4,1,0)</f>
        <v>0</v>
      </c>
    </row>
    <row r="311" spans="9:10" x14ac:dyDescent="0.2">
      <c r="I311">
        <f>IF(Datos!D311&lt;8,1,0)</f>
        <v>0</v>
      </c>
      <c r="J311">
        <f>IF(Datos!E311&gt;=4,1,0)</f>
        <v>1</v>
      </c>
    </row>
    <row r="312" spans="9:10" x14ac:dyDescent="0.2">
      <c r="I312">
        <f>IF(Datos!D312&lt;8,1,0)</f>
        <v>0</v>
      </c>
      <c r="J312">
        <f>IF(Datos!E312&gt;=4,1,0)</f>
        <v>1</v>
      </c>
    </row>
    <row r="313" spans="9:10" x14ac:dyDescent="0.2">
      <c r="I313">
        <f>IF(Datos!D313&lt;8,1,0)</f>
        <v>0</v>
      </c>
      <c r="J313">
        <f>IF(Datos!E313&gt;=4,1,0)</f>
        <v>0</v>
      </c>
    </row>
    <row r="314" spans="9:10" x14ac:dyDescent="0.2">
      <c r="I314">
        <f>IF(Datos!D314&lt;8,1,0)</f>
        <v>0</v>
      </c>
      <c r="J314">
        <f>IF(Datos!E314&gt;=4,1,0)</f>
        <v>1</v>
      </c>
    </row>
    <row r="315" spans="9:10" x14ac:dyDescent="0.2">
      <c r="I315">
        <f>IF(Datos!D315&lt;8,1,0)</f>
        <v>0</v>
      </c>
      <c r="J315">
        <f>IF(Datos!E315&gt;=4,1,0)</f>
        <v>1</v>
      </c>
    </row>
    <row r="316" spans="9:10" x14ac:dyDescent="0.2">
      <c r="I316">
        <f>IF(Datos!D316&lt;8,1,0)</f>
        <v>0</v>
      </c>
      <c r="J316">
        <f>IF(Datos!E316&gt;=4,1,0)</f>
        <v>0</v>
      </c>
    </row>
    <row r="317" spans="9:10" x14ac:dyDescent="0.2">
      <c r="I317">
        <f>IF(Datos!D317&lt;8,1,0)</f>
        <v>0</v>
      </c>
      <c r="J317">
        <f>IF(Datos!E317&gt;=4,1,0)</f>
        <v>1</v>
      </c>
    </row>
    <row r="318" spans="9:10" x14ac:dyDescent="0.2">
      <c r="I318">
        <f>IF(Datos!D318&lt;8,1,0)</f>
        <v>0</v>
      </c>
      <c r="J318">
        <f>IF(Datos!E318&gt;=4,1,0)</f>
        <v>0</v>
      </c>
    </row>
    <row r="319" spans="9:10" x14ac:dyDescent="0.2">
      <c r="I319">
        <f>IF(Datos!D319&lt;8,1,0)</f>
        <v>0</v>
      </c>
      <c r="J319">
        <f>IF(Datos!E319&gt;=4,1,0)</f>
        <v>1</v>
      </c>
    </row>
    <row r="320" spans="9:10" x14ac:dyDescent="0.2">
      <c r="I320">
        <f>IF(Datos!D320&lt;8,1,0)</f>
        <v>0</v>
      </c>
      <c r="J320">
        <f>IF(Datos!E320&gt;=4,1,0)</f>
        <v>0</v>
      </c>
    </row>
    <row r="321" spans="9:10" x14ac:dyDescent="0.2">
      <c r="I321">
        <f>IF(Datos!D321&lt;8,1,0)</f>
        <v>0</v>
      </c>
      <c r="J321">
        <f>IF(Datos!E321&gt;=4,1,0)</f>
        <v>0</v>
      </c>
    </row>
    <row r="322" spans="9:10" x14ac:dyDescent="0.2">
      <c r="I322">
        <f>IF(Datos!D322&lt;8,1,0)</f>
        <v>0</v>
      </c>
      <c r="J322">
        <f>IF(Datos!E322&gt;=4,1,0)</f>
        <v>0</v>
      </c>
    </row>
    <row r="323" spans="9:10" x14ac:dyDescent="0.2">
      <c r="I323">
        <f>IF(Datos!D323&lt;8,1,0)</f>
        <v>0</v>
      </c>
      <c r="J323">
        <f>IF(Datos!E323&gt;=4,1,0)</f>
        <v>1</v>
      </c>
    </row>
    <row r="324" spans="9:10" x14ac:dyDescent="0.2">
      <c r="I324">
        <f>IF(Datos!D324&lt;8,1,0)</f>
        <v>1</v>
      </c>
      <c r="J324">
        <f>IF(Datos!E324&gt;=4,1,0)</f>
        <v>1</v>
      </c>
    </row>
    <row r="325" spans="9:10" x14ac:dyDescent="0.2">
      <c r="I325">
        <f>IF(Datos!D325&lt;8,1,0)</f>
        <v>0</v>
      </c>
      <c r="J325">
        <f>IF(Datos!E325&gt;=4,1,0)</f>
        <v>0</v>
      </c>
    </row>
    <row r="326" spans="9:10" x14ac:dyDescent="0.2">
      <c r="I326">
        <f>IF(Datos!D326&lt;8,1,0)</f>
        <v>0</v>
      </c>
      <c r="J326">
        <f>IF(Datos!E326&gt;=4,1,0)</f>
        <v>1</v>
      </c>
    </row>
    <row r="327" spans="9:10" x14ac:dyDescent="0.2">
      <c r="I327">
        <f>IF(Datos!D327&lt;8,1,0)</f>
        <v>0</v>
      </c>
      <c r="J327">
        <f>IF(Datos!E327&gt;=4,1,0)</f>
        <v>0</v>
      </c>
    </row>
    <row r="328" spans="9:10" x14ac:dyDescent="0.2">
      <c r="I328">
        <f>IF(Datos!D328&lt;8,1,0)</f>
        <v>0</v>
      </c>
      <c r="J328">
        <f>IF(Datos!E328&gt;=4,1,0)</f>
        <v>1</v>
      </c>
    </row>
    <row r="329" spans="9:10" x14ac:dyDescent="0.2">
      <c r="I329">
        <f>IF(Datos!D329&lt;8,1,0)</f>
        <v>0</v>
      </c>
      <c r="J329">
        <f>IF(Datos!E329&gt;=4,1,0)</f>
        <v>0</v>
      </c>
    </row>
    <row r="330" spans="9:10" x14ac:dyDescent="0.2">
      <c r="I330">
        <f>IF(Datos!D330&lt;8,1,0)</f>
        <v>0</v>
      </c>
      <c r="J330">
        <f>IF(Datos!E330&gt;=4,1,0)</f>
        <v>0</v>
      </c>
    </row>
    <row r="331" spans="9:10" x14ac:dyDescent="0.2">
      <c r="I331">
        <f>IF(Datos!D331&lt;8,1,0)</f>
        <v>0</v>
      </c>
      <c r="J331">
        <f>IF(Datos!E331&gt;=4,1,0)</f>
        <v>1</v>
      </c>
    </row>
    <row r="332" spans="9:10" x14ac:dyDescent="0.2">
      <c r="I332">
        <f>IF(Datos!D332&lt;8,1,0)</f>
        <v>0</v>
      </c>
      <c r="J332">
        <f>IF(Datos!E332&gt;=4,1,0)</f>
        <v>0</v>
      </c>
    </row>
    <row r="333" spans="9:10" x14ac:dyDescent="0.2">
      <c r="I333">
        <f>IF(Datos!D333&lt;8,1,0)</f>
        <v>0</v>
      </c>
      <c r="J333">
        <f>IF(Datos!E333&gt;=4,1,0)</f>
        <v>1</v>
      </c>
    </row>
    <row r="334" spans="9:10" x14ac:dyDescent="0.2">
      <c r="I334">
        <f>IF(Datos!D334&lt;8,1,0)</f>
        <v>0</v>
      </c>
      <c r="J334">
        <f>IF(Datos!E334&gt;=4,1,0)</f>
        <v>1</v>
      </c>
    </row>
    <row r="335" spans="9:10" x14ac:dyDescent="0.2">
      <c r="I335">
        <f>IF(Datos!D335&lt;8,1,0)</f>
        <v>0</v>
      </c>
      <c r="J335">
        <f>IF(Datos!E335&gt;=4,1,0)</f>
        <v>0</v>
      </c>
    </row>
    <row r="336" spans="9:10" x14ac:dyDescent="0.2">
      <c r="I336">
        <f>IF(Datos!D336&lt;8,1,0)</f>
        <v>0</v>
      </c>
      <c r="J336">
        <f>IF(Datos!E336&gt;=4,1,0)</f>
        <v>1</v>
      </c>
    </row>
    <row r="337" spans="9:10" x14ac:dyDescent="0.2">
      <c r="I337">
        <f>IF(Datos!D337&lt;8,1,0)</f>
        <v>0</v>
      </c>
      <c r="J337">
        <f>IF(Datos!E337&gt;=4,1,0)</f>
        <v>0</v>
      </c>
    </row>
    <row r="338" spans="9:10" x14ac:dyDescent="0.2">
      <c r="I338">
        <f>IF(Datos!D338&lt;8,1,0)</f>
        <v>0</v>
      </c>
      <c r="J338">
        <f>IF(Datos!E338&gt;=4,1,0)</f>
        <v>1</v>
      </c>
    </row>
    <row r="339" spans="9:10" x14ac:dyDescent="0.2">
      <c r="I339">
        <f>IF(Datos!D339&lt;8,1,0)</f>
        <v>0</v>
      </c>
      <c r="J339">
        <f>IF(Datos!E339&gt;=4,1,0)</f>
        <v>1</v>
      </c>
    </row>
    <row r="340" spans="9:10" x14ac:dyDescent="0.2">
      <c r="I340">
        <f>IF(Datos!D340&lt;8,1,0)</f>
        <v>0</v>
      </c>
      <c r="J340">
        <f>IF(Datos!E340&gt;=4,1,0)</f>
        <v>0</v>
      </c>
    </row>
    <row r="341" spans="9:10" x14ac:dyDescent="0.2">
      <c r="I341">
        <f>IF(Datos!D341&lt;8,1,0)</f>
        <v>0</v>
      </c>
      <c r="J341">
        <f>IF(Datos!E341&gt;=4,1,0)</f>
        <v>0</v>
      </c>
    </row>
    <row r="342" spans="9:10" x14ac:dyDescent="0.2">
      <c r="I342">
        <f>IF(Datos!D342&lt;8,1,0)</f>
        <v>0</v>
      </c>
      <c r="J342">
        <f>IF(Datos!E342&gt;=4,1,0)</f>
        <v>1</v>
      </c>
    </row>
    <row r="343" spans="9:10" x14ac:dyDescent="0.2">
      <c r="I343">
        <f>IF(Datos!D343&lt;8,1,0)</f>
        <v>0</v>
      </c>
      <c r="J343">
        <f>IF(Datos!E343&gt;=4,1,0)</f>
        <v>1</v>
      </c>
    </row>
    <row r="344" spans="9:10" x14ac:dyDescent="0.2">
      <c r="I344">
        <f>IF(Datos!D344&lt;8,1,0)</f>
        <v>0</v>
      </c>
      <c r="J344">
        <f>IF(Datos!E344&gt;=4,1,0)</f>
        <v>1</v>
      </c>
    </row>
    <row r="345" spans="9:10" x14ac:dyDescent="0.2">
      <c r="I345">
        <f>IF(Datos!D345&lt;8,1,0)</f>
        <v>0</v>
      </c>
      <c r="J345">
        <f>IF(Datos!E345&gt;=4,1,0)</f>
        <v>0</v>
      </c>
    </row>
    <row r="346" spans="9:10" x14ac:dyDescent="0.2">
      <c r="I346">
        <f>IF(Datos!D346&lt;8,1,0)</f>
        <v>0</v>
      </c>
      <c r="J346">
        <f>IF(Datos!E346&gt;=4,1,0)</f>
        <v>1</v>
      </c>
    </row>
    <row r="347" spans="9:10" x14ac:dyDescent="0.2">
      <c r="I347">
        <f>IF(Datos!D347&lt;8,1,0)</f>
        <v>0</v>
      </c>
      <c r="J347">
        <f>IF(Datos!E347&gt;=4,1,0)</f>
        <v>1</v>
      </c>
    </row>
    <row r="348" spans="9:10" x14ac:dyDescent="0.2">
      <c r="I348">
        <f>IF(Datos!D348&lt;8,1,0)</f>
        <v>0</v>
      </c>
      <c r="J348">
        <f>IF(Datos!E348&gt;=4,1,0)</f>
        <v>1</v>
      </c>
    </row>
    <row r="349" spans="9:10" x14ac:dyDescent="0.2">
      <c r="I349">
        <f>IF(Datos!D349&lt;8,1,0)</f>
        <v>0</v>
      </c>
      <c r="J349">
        <f>IF(Datos!E349&gt;=4,1,0)</f>
        <v>1</v>
      </c>
    </row>
    <row r="350" spans="9:10" x14ac:dyDescent="0.2">
      <c r="I350">
        <f>IF(Datos!D350&lt;8,1,0)</f>
        <v>0</v>
      </c>
      <c r="J350">
        <f>IF(Datos!E350&gt;=4,1,0)</f>
        <v>1</v>
      </c>
    </row>
    <row r="351" spans="9:10" x14ac:dyDescent="0.2">
      <c r="I351">
        <f>IF(Datos!D351&lt;8,1,0)</f>
        <v>0</v>
      </c>
      <c r="J351">
        <f>IF(Datos!E351&gt;=4,1,0)</f>
        <v>1</v>
      </c>
    </row>
    <row r="352" spans="9:10" x14ac:dyDescent="0.2">
      <c r="I352">
        <f>IF(Datos!D352&lt;8,1,0)</f>
        <v>0</v>
      </c>
      <c r="J352">
        <f>IF(Datos!E352&gt;=4,1,0)</f>
        <v>1</v>
      </c>
    </row>
    <row r="353" spans="9:10" x14ac:dyDescent="0.2">
      <c r="I353">
        <f>IF(Datos!D353&lt;8,1,0)</f>
        <v>0</v>
      </c>
      <c r="J353">
        <f>IF(Datos!E353&gt;=4,1,0)</f>
        <v>1</v>
      </c>
    </row>
    <row r="354" spans="9:10" x14ac:dyDescent="0.2">
      <c r="I354">
        <f>IF(Datos!D354&lt;8,1,0)</f>
        <v>0</v>
      </c>
      <c r="J354">
        <f>IF(Datos!E354&gt;=4,1,0)</f>
        <v>1</v>
      </c>
    </row>
    <row r="355" spans="9:10" x14ac:dyDescent="0.2">
      <c r="I355">
        <f>IF(Datos!D355&lt;8,1,0)</f>
        <v>0</v>
      </c>
      <c r="J355">
        <f>IF(Datos!E355&gt;=4,1,0)</f>
        <v>1</v>
      </c>
    </row>
    <row r="356" spans="9:10" x14ac:dyDescent="0.2">
      <c r="I356">
        <f>IF(Datos!D356&lt;8,1,0)</f>
        <v>0</v>
      </c>
      <c r="J356">
        <f>IF(Datos!E356&gt;=4,1,0)</f>
        <v>1</v>
      </c>
    </row>
    <row r="357" spans="9:10" x14ac:dyDescent="0.2">
      <c r="I357">
        <f>IF(Datos!D357&lt;8,1,0)</f>
        <v>0</v>
      </c>
      <c r="J357">
        <f>IF(Datos!E357&gt;=4,1,0)</f>
        <v>1</v>
      </c>
    </row>
    <row r="358" spans="9:10" x14ac:dyDescent="0.2">
      <c r="I358">
        <f>IF(Datos!D358&lt;8,1,0)</f>
        <v>0</v>
      </c>
      <c r="J358">
        <f>IF(Datos!E358&gt;=4,1,0)</f>
        <v>1</v>
      </c>
    </row>
    <row r="359" spans="9:10" x14ac:dyDescent="0.2">
      <c r="I359">
        <f>IF(Datos!D359&lt;8,1,0)</f>
        <v>0</v>
      </c>
      <c r="J359">
        <f>IF(Datos!E359&gt;=4,1,0)</f>
        <v>1</v>
      </c>
    </row>
    <row r="360" spans="9:10" x14ac:dyDescent="0.2">
      <c r="I360">
        <f>IF(Datos!D360&lt;8,1,0)</f>
        <v>0</v>
      </c>
      <c r="J360">
        <f>IF(Datos!E360&gt;=4,1,0)</f>
        <v>1</v>
      </c>
    </row>
    <row r="361" spans="9:10" x14ac:dyDescent="0.2">
      <c r="I361">
        <f>IF(Datos!D361&lt;8,1,0)</f>
        <v>0</v>
      </c>
      <c r="J361">
        <f>IF(Datos!E361&gt;=4,1,0)</f>
        <v>1</v>
      </c>
    </row>
    <row r="362" spans="9:10" x14ac:dyDescent="0.2">
      <c r="I362">
        <f>IF(Datos!D362&lt;8,1,0)</f>
        <v>0</v>
      </c>
      <c r="J362">
        <f>IF(Datos!E362&gt;=4,1,0)</f>
        <v>0</v>
      </c>
    </row>
    <row r="363" spans="9:10" x14ac:dyDescent="0.2">
      <c r="I363">
        <f>IF(Datos!D363&lt;8,1,0)</f>
        <v>0</v>
      </c>
      <c r="J363">
        <f>IF(Datos!E363&gt;=4,1,0)</f>
        <v>0</v>
      </c>
    </row>
    <row r="364" spans="9:10" x14ac:dyDescent="0.2">
      <c r="I364">
        <f>IF(Datos!D364&lt;8,1,0)</f>
        <v>0</v>
      </c>
      <c r="J364">
        <f>IF(Datos!E364&gt;=4,1,0)</f>
        <v>0</v>
      </c>
    </row>
    <row r="365" spans="9:10" x14ac:dyDescent="0.2">
      <c r="I365">
        <f>IF(Datos!D365&lt;8,1,0)</f>
        <v>0</v>
      </c>
      <c r="J365">
        <f>IF(Datos!E365&gt;=4,1,0)</f>
        <v>1</v>
      </c>
    </row>
    <row r="366" spans="9:10" x14ac:dyDescent="0.2">
      <c r="I366">
        <f>IF(Datos!D366&lt;8,1,0)</f>
        <v>0</v>
      </c>
      <c r="J366">
        <f>IF(Datos!E366&gt;=4,1,0)</f>
        <v>1</v>
      </c>
    </row>
    <row r="367" spans="9:10" x14ac:dyDescent="0.2">
      <c r="I367">
        <f>IF(Datos!D367&lt;8,1,0)</f>
        <v>0</v>
      </c>
      <c r="J367">
        <f>IF(Datos!E367&gt;=4,1,0)</f>
        <v>1</v>
      </c>
    </row>
    <row r="368" spans="9:10" x14ac:dyDescent="0.2">
      <c r="I368">
        <f>IF(Datos!D368&lt;8,1,0)</f>
        <v>0</v>
      </c>
      <c r="J368">
        <f>IF(Datos!E368&gt;=4,1,0)</f>
        <v>1</v>
      </c>
    </row>
    <row r="369" spans="9:10" x14ac:dyDescent="0.2">
      <c r="I369">
        <f>IF(Datos!D369&lt;8,1,0)</f>
        <v>0</v>
      </c>
      <c r="J369">
        <f>IF(Datos!E369&gt;=4,1,0)</f>
        <v>1</v>
      </c>
    </row>
    <row r="370" spans="9:10" x14ac:dyDescent="0.2">
      <c r="I370">
        <f>IF(Datos!D370&lt;8,1,0)</f>
        <v>0</v>
      </c>
      <c r="J370">
        <f>IF(Datos!E370&gt;=4,1,0)</f>
        <v>1</v>
      </c>
    </row>
    <row r="371" spans="9:10" x14ac:dyDescent="0.2">
      <c r="I371">
        <f>IF(Datos!D371&lt;8,1,0)</f>
        <v>0</v>
      </c>
      <c r="J371">
        <f>IF(Datos!E371&gt;=4,1,0)</f>
        <v>0</v>
      </c>
    </row>
    <row r="372" spans="9:10" x14ac:dyDescent="0.2">
      <c r="I372">
        <f>IF(Datos!D372&lt;8,1,0)</f>
        <v>0</v>
      </c>
      <c r="J372">
        <f>IF(Datos!E372&gt;=4,1,0)</f>
        <v>1</v>
      </c>
    </row>
    <row r="373" spans="9:10" x14ac:dyDescent="0.2">
      <c r="I373">
        <f>IF(Datos!D373&lt;8,1,0)</f>
        <v>0</v>
      </c>
      <c r="J373">
        <f>IF(Datos!E373&gt;=4,1,0)</f>
        <v>1</v>
      </c>
    </row>
    <row r="374" spans="9:10" x14ac:dyDescent="0.2">
      <c r="I374">
        <f>IF(Datos!D374&lt;8,1,0)</f>
        <v>0</v>
      </c>
      <c r="J374">
        <f>IF(Datos!E374&gt;=4,1,0)</f>
        <v>0</v>
      </c>
    </row>
    <row r="375" spans="9:10" x14ac:dyDescent="0.2">
      <c r="I375">
        <f>IF(Datos!D375&lt;8,1,0)</f>
        <v>0</v>
      </c>
      <c r="J375">
        <f>IF(Datos!E375&gt;=4,1,0)</f>
        <v>1</v>
      </c>
    </row>
    <row r="376" spans="9:10" x14ac:dyDescent="0.2">
      <c r="I376">
        <f>IF(Datos!D376&lt;8,1,0)</f>
        <v>0</v>
      </c>
      <c r="J376">
        <f>IF(Datos!E376&gt;=4,1,0)</f>
        <v>1</v>
      </c>
    </row>
    <row r="377" spans="9:10" x14ac:dyDescent="0.2">
      <c r="I377">
        <f>IF(Datos!D377&lt;8,1,0)</f>
        <v>0</v>
      </c>
      <c r="J377">
        <f>IF(Datos!E377&gt;=4,1,0)</f>
        <v>1</v>
      </c>
    </row>
    <row r="378" spans="9:10" x14ac:dyDescent="0.2">
      <c r="I378">
        <f>IF(Datos!D378&lt;8,1,0)</f>
        <v>0</v>
      </c>
      <c r="J378">
        <f>IF(Datos!E378&gt;=4,1,0)</f>
        <v>1</v>
      </c>
    </row>
    <row r="379" spans="9:10" x14ac:dyDescent="0.2">
      <c r="I379">
        <f>IF(Datos!D379&lt;8,1,0)</f>
        <v>0</v>
      </c>
      <c r="J379">
        <f>IF(Datos!E379&gt;=4,1,0)</f>
        <v>1</v>
      </c>
    </row>
    <row r="380" spans="9:10" x14ac:dyDescent="0.2">
      <c r="I380">
        <f>IF(Datos!D380&lt;8,1,0)</f>
        <v>0</v>
      </c>
      <c r="J380">
        <f>IF(Datos!E380&gt;=4,1,0)</f>
        <v>1</v>
      </c>
    </row>
    <row r="381" spans="9:10" x14ac:dyDescent="0.2">
      <c r="I381">
        <f>IF(Datos!D381&lt;8,1,0)</f>
        <v>0</v>
      </c>
      <c r="J381">
        <f>IF(Datos!E381&gt;=4,1,0)</f>
        <v>1</v>
      </c>
    </row>
    <row r="382" spans="9:10" x14ac:dyDescent="0.2">
      <c r="I382">
        <f>IF(Datos!D382&lt;8,1,0)</f>
        <v>0</v>
      </c>
      <c r="J382">
        <f>IF(Datos!E382&gt;=4,1,0)</f>
        <v>1</v>
      </c>
    </row>
    <row r="383" spans="9:10" x14ac:dyDescent="0.2">
      <c r="I383">
        <f>IF(Datos!D383&lt;8,1,0)</f>
        <v>0</v>
      </c>
      <c r="J383">
        <f>IF(Datos!E383&gt;=4,1,0)</f>
        <v>0</v>
      </c>
    </row>
    <row r="384" spans="9:10" x14ac:dyDescent="0.2">
      <c r="I384">
        <f>IF(Datos!D384&lt;8,1,0)</f>
        <v>0</v>
      </c>
      <c r="J384">
        <f>IF(Datos!E384&gt;=4,1,0)</f>
        <v>1</v>
      </c>
    </row>
    <row r="385" spans="9:10" x14ac:dyDescent="0.2">
      <c r="I385">
        <f>IF(Datos!D385&lt;8,1,0)</f>
        <v>0</v>
      </c>
      <c r="J385">
        <f>IF(Datos!E385&gt;=4,1,0)</f>
        <v>0</v>
      </c>
    </row>
    <row r="386" spans="9:10" x14ac:dyDescent="0.2">
      <c r="I386">
        <f>IF(Datos!D386&lt;8,1,0)</f>
        <v>0</v>
      </c>
      <c r="J386">
        <f>IF(Datos!E386&gt;=4,1,0)</f>
        <v>1</v>
      </c>
    </row>
    <row r="387" spans="9:10" x14ac:dyDescent="0.2">
      <c r="I387">
        <f>IF(Datos!D387&lt;8,1,0)</f>
        <v>0</v>
      </c>
      <c r="J387">
        <f>IF(Datos!E387&gt;=4,1,0)</f>
        <v>1</v>
      </c>
    </row>
    <row r="388" spans="9:10" x14ac:dyDescent="0.2">
      <c r="I388">
        <f>IF(Datos!D388&lt;8,1,0)</f>
        <v>0</v>
      </c>
      <c r="J388">
        <f>IF(Datos!E388&gt;=4,1,0)</f>
        <v>1</v>
      </c>
    </row>
    <row r="389" spans="9:10" x14ac:dyDescent="0.2">
      <c r="I389">
        <f>IF(Datos!D389&lt;8,1,0)</f>
        <v>0</v>
      </c>
      <c r="J389">
        <f>IF(Datos!E389&gt;=4,1,0)</f>
        <v>1</v>
      </c>
    </row>
    <row r="390" spans="9:10" x14ac:dyDescent="0.2">
      <c r="I390">
        <f>IF(Datos!D390&lt;8,1,0)</f>
        <v>0</v>
      </c>
      <c r="J390">
        <f>IF(Datos!E390&gt;=4,1,0)</f>
        <v>1</v>
      </c>
    </row>
    <row r="391" spans="9:10" x14ac:dyDescent="0.2">
      <c r="I391">
        <f>IF(Datos!D391&lt;8,1,0)</f>
        <v>0</v>
      </c>
      <c r="J391">
        <f>IF(Datos!E391&gt;=4,1,0)</f>
        <v>0</v>
      </c>
    </row>
    <row r="392" spans="9:10" x14ac:dyDescent="0.2">
      <c r="I392">
        <f>IF(Datos!D392&lt;8,1,0)</f>
        <v>0</v>
      </c>
      <c r="J392">
        <f>IF(Datos!E392&gt;=4,1,0)</f>
        <v>1</v>
      </c>
    </row>
    <row r="393" spans="9:10" x14ac:dyDescent="0.2">
      <c r="I393">
        <f>IF(Datos!D393&lt;8,1,0)</f>
        <v>0</v>
      </c>
      <c r="J393">
        <f>IF(Datos!E393&gt;=4,1,0)</f>
        <v>0</v>
      </c>
    </row>
    <row r="394" spans="9:10" x14ac:dyDescent="0.2">
      <c r="I394">
        <f>IF(Datos!D394&lt;8,1,0)</f>
        <v>1</v>
      </c>
      <c r="J394">
        <f>IF(Datos!E394&gt;=4,1,0)</f>
        <v>1</v>
      </c>
    </row>
    <row r="395" spans="9:10" x14ac:dyDescent="0.2">
      <c r="I395">
        <f>IF(Datos!D395&lt;8,1,0)</f>
        <v>0</v>
      </c>
      <c r="J395">
        <f>IF(Datos!E395&gt;=4,1,0)</f>
        <v>1</v>
      </c>
    </row>
    <row r="396" spans="9:10" x14ac:dyDescent="0.2">
      <c r="I396">
        <f>IF(Datos!D396&lt;8,1,0)</f>
        <v>1</v>
      </c>
      <c r="J396">
        <f>IF(Datos!E396&gt;=4,1,0)</f>
        <v>1</v>
      </c>
    </row>
    <row r="397" spans="9:10" x14ac:dyDescent="0.2">
      <c r="I397">
        <f>IF(Datos!D397&lt;8,1,0)</f>
        <v>0</v>
      </c>
      <c r="J397">
        <f>IF(Datos!E397&gt;=4,1,0)</f>
        <v>0</v>
      </c>
    </row>
    <row r="398" spans="9:10" x14ac:dyDescent="0.2">
      <c r="I398">
        <f>IF(Datos!D398&lt;8,1,0)</f>
        <v>0</v>
      </c>
      <c r="J398">
        <f>IF(Datos!E398&gt;=4,1,0)</f>
        <v>1</v>
      </c>
    </row>
    <row r="399" spans="9:10" x14ac:dyDescent="0.2">
      <c r="I399">
        <f>IF(Datos!D399&lt;8,1,0)</f>
        <v>0</v>
      </c>
      <c r="J399">
        <f>IF(Datos!E399&gt;=4,1,0)</f>
        <v>1</v>
      </c>
    </row>
    <row r="400" spans="9:10" x14ac:dyDescent="0.2">
      <c r="I400">
        <f>IF(Datos!D400&lt;8,1,0)</f>
        <v>1</v>
      </c>
      <c r="J400">
        <f>IF(Datos!E400&gt;=4,1,0)</f>
        <v>1</v>
      </c>
    </row>
    <row r="401" spans="9:10" x14ac:dyDescent="0.2">
      <c r="I401">
        <f>IF(Datos!D401&lt;8,1,0)</f>
        <v>0</v>
      </c>
      <c r="J401">
        <f>IF(Datos!E401&gt;=4,1,0)</f>
        <v>1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6EB2-4615-4126-AB8A-2C81473A4317}">
  <dimension ref="A1:C12"/>
  <sheetViews>
    <sheetView workbookViewId="0">
      <selection activeCell="B13" sqref="B13"/>
    </sheetView>
  </sheetViews>
  <sheetFormatPr defaultColWidth="10.76171875" defaultRowHeight="15" x14ac:dyDescent="0.2"/>
  <cols>
    <col min="1" max="1" width="57.57421875" customWidth="1"/>
    <col min="3" max="3" width="12.23828125" customWidth="1"/>
  </cols>
  <sheetData>
    <row r="1" spans="1:3" ht="18.75" x14ac:dyDescent="0.2">
      <c r="A1" s="107" t="s">
        <v>100</v>
      </c>
      <c r="B1" s="108"/>
      <c r="C1" s="108"/>
    </row>
    <row r="2" spans="1:3" x14ac:dyDescent="0.2">
      <c r="A2" s="29" t="s">
        <v>101</v>
      </c>
      <c r="B2">
        <f>COUNTIF(Datos!B2:B401,"No estructurados")</f>
        <v>198</v>
      </c>
    </row>
    <row r="3" spans="1:3" x14ac:dyDescent="0.2">
      <c r="A3" s="29" t="s">
        <v>102</v>
      </c>
      <c r="B3">
        <f>B2/400</f>
        <v>0.495</v>
      </c>
    </row>
    <row r="5" spans="1:3" x14ac:dyDescent="0.2">
      <c r="A5" s="29" t="s">
        <v>103</v>
      </c>
      <c r="B5">
        <f>COUNTIF(Datos!D2:D401,"&gt;8")</f>
        <v>385</v>
      </c>
    </row>
    <row r="6" spans="1:3" x14ac:dyDescent="0.2">
      <c r="A6" s="29" t="s">
        <v>104</v>
      </c>
      <c r="B6">
        <f>B5/400</f>
        <v>0.96250000000000002</v>
      </c>
    </row>
    <row r="8" spans="1:3" x14ac:dyDescent="0.2">
      <c r="A8" s="29" t="s">
        <v>105</v>
      </c>
      <c r="B8">
        <f>COUNTIFS(Datos!B2:B401,"No Estructurados",Datos!D2:D401,"&gt;8")</f>
        <v>192</v>
      </c>
    </row>
    <row r="9" spans="1:3" x14ac:dyDescent="0.2">
      <c r="A9" s="29" t="s">
        <v>106</v>
      </c>
      <c r="B9">
        <f>B8/400</f>
        <v>0.48</v>
      </c>
    </row>
    <row r="10" spans="1:3" x14ac:dyDescent="0.2">
      <c r="A10" s="29" t="s">
        <v>107</v>
      </c>
      <c r="B10" s="11">
        <f>B3*B6</f>
        <v>0.47643750000000001</v>
      </c>
    </row>
    <row r="11" spans="1:3" x14ac:dyDescent="0.2">
      <c r="A11" s="29" t="s">
        <v>108</v>
      </c>
      <c r="B11" s="11">
        <f>B9-B10</f>
        <v>3.5624999999999685E-3</v>
      </c>
    </row>
    <row r="12" spans="1:3" x14ac:dyDescent="0.2">
      <c r="A12" s="29" t="s">
        <v>109</v>
      </c>
      <c r="B12" s="11">
        <f>B8/B2</f>
        <v>0.96969696969696972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8196-C951-419D-9448-4766E06BFCD8}">
  <dimension ref="A1:D7"/>
  <sheetViews>
    <sheetView zoomScale="81" workbookViewId="0">
      <selection activeCell="D13" sqref="D13"/>
    </sheetView>
  </sheetViews>
  <sheetFormatPr defaultColWidth="10.76171875" defaultRowHeight="15" x14ac:dyDescent="0.2"/>
  <cols>
    <col min="1" max="1" width="23.9453125" customWidth="1"/>
    <col min="4" max="4" width="45.33203125" customWidth="1"/>
  </cols>
  <sheetData>
    <row r="1" spans="1:4" ht="16.5" x14ac:dyDescent="0.2">
      <c r="A1" s="110" t="s">
        <v>110</v>
      </c>
      <c r="B1" s="111"/>
      <c r="C1" s="111"/>
      <c r="D1" s="111"/>
    </row>
    <row r="2" spans="1:4" x14ac:dyDescent="0.2">
      <c r="A2" s="109" t="s">
        <v>111</v>
      </c>
      <c r="B2" s="109"/>
      <c r="C2" s="109"/>
      <c r="D2" s="9">
        <f>AVERAGE(Datos!D2:D401)</f>
        <v>13.611924166666867</v>
      </c>
    </row>
    <row r="3" spans="1:4" x14ac:dyDescent="0.2">
      <c r="A3" s="109" t="s">
        <v>112</v>
      </c>
      <c r="B3" s="109"/>
      <c r="C3" s="109"/>
      <c r="D3">
        <f>COUNTIF(Datos!D2:D401,"&lt;8")/400</f>
        <v>3.7499999999999999E-2</v>
      </c>
    </row>
    <row r="4" spans="1:4" x14ac:dyDescent="0.2">
      <c r="A4" s="109" t="s">
        <v>113</v>
      </c>
      <c r="B4" s="109"/>
      <c r="C4" s="109"/>
      <c r="D4" s="28" t="s">
        <v>117</v>
      </c>
    </row>
    <row r="5" spans="1:4" x14ac:dyDescent="0.2">
      <c r="A5" s="109" t="s">
        <v>114</v>
      </c>
      <c r="B5" s="109"/>
      <c r="C5" s="109"/>
      <c r="D5" s="28" t="s">
        <v>118</v>
      </c>
    </row>
    <row r="6" spans="1:4" x14ac:dyDescent="0.2">
      <c r="A6" s="109" t="s">
        <v>115</v>
      </c>
      <c r="B6" s="109"/>
      <c r="C6" s="109"/>
      <c r="D6" s="28" t="s">
        <v>119</v>
      </c>
    </row>
    <row r="7" spans="1:4" x14ac:dyDescent="0.2">
      <c r="A7" s="109" t="s">
        <v>116</v>
      </c>
      <c r="B7" s="109"/>
      <c r="C7" s="109"/>
      <c r="D7" s="28" t="s">
        <v>120</v>
      </c>
    </row>
  </sheetData>
  <mergeCells count="7">
    <mergeCell ref="A7:C7"/>
    <mergeCell ref="A1:D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3053-6090-4052-8FDD-1FD59E3B37DB}">
  <dimension ref="A1:C7"/>
  <sheetViews>
    <sheetView workbookViewId="0">
      <selection activeCell="A9" sqref="A9"/>
    </sheetView>
  </sheetViews>
  <sheetFormatPr defaultColWidth="10.76171875" defaultRowHeight="15" x14ac:dyDescent="0.2"/>
  <cols>
    <col min="1" max="1" width="42.375" customWidth="1"/>
  </cols>
  <sheetData>
    <row r="1" spans="1:3" ht="18.75" x14ac:dyDescent="0.2">
      <c r="A1" s="107" t="s">
        <v>121</v>
      </c>
      <c r="B1" s="108"/>
      <c r="C1" s="108"/>
    </row>
    <row r="2" spans="1:3" x14ac:dyDescent="0.2">
      <c r="A2" s="29" t="s">
        <v>122</v>
      </c>
      <c r="B2">
        <f>COUNTIF(Datos!D2:D401,"&gt;3.5")</f>
        <v>398</v>
      </c>
    </row>
    <row r="3" spans="1:3" x14ac:dyDescent="0.2">
      <c r="A3" s="29" t="s">
        <v>123</v>
      </c>
      <c r="B3">
        <f>B2/400</f>
        <v>0.995</v>
      </c>
    </row>
    <row r="4" spans="1:3" x14ac:dyDescent="0.2">
      <c r="A4" s="29" t="s">
        <v>124</v>
      </c>
      <c r="B4">
        <f>COUNTIF(Datos!D2:D401,"&lt;=3.5")</f>
        <v>2</v>
      </c>
    </row>
    <row r="5" spans="1:3" x14ac:dyDescent="0.2">
      <c r="A5" s="29" t="s">
        <v>125</v>
      </c>
      <c r="B5" s="11">
        <f>B4/400</f>
        <v>5.0000000000000001E-3</v>
      </c>
    </row>
    <row r="6" spans="1:3" x14ac:dyDescent="0.2">
      <c r="A6" s="29" t="s">
        <v>126</v>
      </c>
      <c r="B6" s="9">
        <f>AVERAGE(Datos!D2:D401)</f>
        <v>13.611924166666867</v>
      </c>
    </row>
    <row r="7" spans="1:3" x14ac:dyDescent="0.2">
      <c r="A7" s="29" t="s">
        <v>127</v>
      </c>
      <c r="B7" s="9">
        <f>MIN(Datos!D2:D401)</f>
        <v>3.0052545539187698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5D66-0F12-434C-9165-E48C8B2C4AC9}">
  <dimension ref="A1:G21"/>
  <sheetViews>
    <sheetView zoomScale="68" workbookViewId="0">
      <selection activeCell="F25" sqref="F25"/>
    </sheetView>
  </sheetViews>
  <sheetFormatPr defaultColWidth="10.76171875" defaultRowHeight="15" x14ac:dyDescent="0.2"/>
  <cols>
    <col min="1" max="1" width="37.93359375" customWidth="1"/>
  </cols>
  <sheetData>
    <row r="1" spans="1:7" ht="18.75" x14ac:dyDescent="0.2">
      <c r="A1" s="107" t="s">
        <v>128</v>
      </c>
      <c r="B1" s="108"/>
      <c r="C1" s="108"/>
      <c r="D1" s="108"/>
      <c r="E1" s="108"/>
      <c r="F1" s="108"/>
      <c r="G1" s="38"/>
    </row>
    <row r="3" spans="1:7" x14ac:dyDescent="0.2">
      <c r="A3" s="34" t="s">
        <v>129</v>
      </c>
      <c r="B3" s="37"/>
      <c r="C3" s="37"/>
      <c r="D3" s="37"/>
      <c r="E3" s="37"/>
      <c r="F3" s="37"/>
      <c r="G3" s="37"/>
    </row>
    <row r="4" spans="1:7" ht="16.5" x14ac:dyDescent="0.25">
      <c r="B4" s="39">
        <v>1</v>
      </c>
      <c r="C4" s="39">
        <v>2</v>
      </c>
      <c r="D4" s="39">
        <v>3</v>
      </c>
      <c r="E4" s="39">
        <v>4</v>
      </c>
      <c r="F4" s="39">
        <v>5</v>
      </c>
      <c r="G4" s="40" t="s">
        <v>47</v>
      </c>
    </row>
    <row r="5" spans="1:7" x14ac:dyDescent="0.2">
      <c r="A5" s="35" t="s">
        <v>8</v>
      </c>
      <c r="B5">
        <f>COUNTIFS(Datos!$B$2:$B$401,$A5,Datos!$G$2:$G$401,B$4)</f>
        <v>50</v>
      </c>
      <c r="C5">
        <f>COUNTIFS(Datos!$B$2:$B$401,$A5,Datos!$G$2:$G$401,C$4)</f>
        <v>36</v>
      </c>
      <c r="D5">
        <f>COUNTIFS(Datos!$B$2:$B$401,$A5,Datos!$G$2:$G$401,D$4)</f>
        <v>50</v>
      </c>
      <c r="E5">
        <f>COUNTIFS(Datos!$B$2:$B$401,$A5,Datos!$G$2:$G$401,E$4)</f>
        <v>24</v>
      </c>
      <c r="F5">
        <f>COUNTIFS(Datos!$B$2:$B$401,$A5,Datos!$G$2:$G$401,F$4)</f>
        <v>42</v>
      </c>
      <c r="G5">
        <f>SUM(B5:F5)</f>
        <v>202</v>
      </c>
    </row>
    <row r="6" spans="1:7" x14ac:dyDescent="0.2">
      <c r="A6" s="35" t="s">
        <v>7</v>
      </c>
      <c r="B6">
        <f>COUNTIFS(Datos!$B$2:$B$401,$A6,Datos!$G$2:$G$401,B$4)</f>
        <v>38</v>
      </c>
      <c r="C6">
        <f>COUNTIFS(Datos!$B$2:$B$401,$A6,Datos!$G$2:$G$401,C$4)</f>
        <v>48</v>
      </c>
      <c r="D6">
        <f>COUNTIFS(Datos!$B$2:$B$401,$A6,Datos!$G$2:$G$401,D$4)</f>
        <v>30</v>
      </c>
      <c r="E6">
        <f>COUNTIFS(Datos!$B$2:$B$401,$A6,Datos!$G$2:$G$401,E$4)</f>
        <v>38</v>
      </c>
      <c r="F6">
        <f>COUNTIFS(Datos!$B$2:$B$401,$A6,Datos!$G$2:$G$401,F$4)</f>
        <v>44</v>
      </c>
      <c r="G6">
        <f>SUM(B6:F6)</f>
        <v>198</v>
      </c>
    </row>
    <row r="7" spans="1:7" x14ac:dyDescent="0.2">
      <c r="A7" s="36" t="s">
        <v>47</v>
      </c>
      <c r="B7" s="15">
        <f>SUM(B5:B6)</f>
        <v>88</v>
      </c>
      <c r="C7" s="15">
        <f t="shared" ref="C7:F7" si="0">SUM(C5:C6)</f>
        <v>84</v>
      </c>
      <c r="D7" s="15">
        <f t="shared" si="0"/>
        <v>80</v>
      </c>
      <c r="E7" s="15">
        <f t="shared" si="0"/>
        <v>62</v>
      </c>
      <c r="F7" s="15">
        <f t="shared" si="0"/>
        <v>86</v>
      </c>
      <c r="G7" s="15">
        <f>SUM(B7:F7)</f>
        <v>400</v>
      </c>
    </row>
    <row r="10" spans="1:7" x14ac:dyDescent="0.2">
      <c r="A10" s="34" t="s">
        <v>130</v>
      </c>
      <c r="B10" s="37"/>
      <c r="C10" s="37"/>
      <c r="D10" s="37"/>
      <c r="E10" s="37"/>
      <c r="F10" s="37"/>
      <c r="G10" s="37"/>
    </row>
    <row r="11" spans="1:7" ht="16.5" x14ac:dyDescent="0.25">
      <c r="B11" s="39">
        <v>1</v>
      </c>
      <c r="C11" s="39">
        <v>2</v>
      </c>
      <c r="D11" s="39">
        <v>3</v>
      </c>
      <c r="E11" s="39">
        <v>4</v>
      </c>
      <c r="F11" s="39">
        <v>5</v>
      </c>
      <c r="G11" s="40" t="s">
        <v>131</v>
      </c>
    </row>
    <row r="12" spans="1:7" x14ac:dyDescent="0.2">
      <c r="A12" s="35" t="s">
        <v>8</v>
      </c>
      <c r="B12">
        <f>B5/400</f>
        <v>0.125</v>
      </c>
      <c r="C12">
        <f t="shared" ref="C12:G12" si="1">C5/400</f>
        <v>0.09</v>
      </c>
      <c r="D12">
        <f t="shared" si="1"/>
        <v>0.125</v>
      </c>
      <c r="E12">
        <f t="shared" si="1"/>
        <v>0.06</v>
      </c>
      <c r="F12">
        <f t="shared" si="1"/>
        <v>0.105</v>
      </c>
      <c r="G12">
        <f t="shared" si="1"/>
        <v>0.505</v>
      </c>
    </row>
    <row r="13" spans="1:7" x14ac:dyDescent="0.2">
      <c r="A13" s="35" t="s">
        <v>7</v>
      </c>
      <c r="B13">
        <f>B6/400</f>
        <v>9.5000000000000001E-2</v>
      </c>
      <c r="C13">
        <f t="shared" ref="C13:G13" si="2">C6/400</f>
        <v>0.12</v>
      </c>
      <c r="D13">
        <f t="shared" si="2"/>
        <v>7.4999999999999997E-2</v>
      </c>
      <c r="E13">
        <f t="shared" si="2"/>
        <v>9.5000000000000001E-2</v>
      </c>
      <c r="F13">
        <f t="shared" si="2"/>
        <v>0.11</v>
      </c>
      <c r="G13">
        <f t="shared" si="2"/>
        <v>0.495</v>
      </c>
    </row>
    <row r="14" spans="1:7" x14ac:dyDescent="0.2">
      <c r="A14" s="36" t="s">
        <v>132</v>
      </c>
      <c r="B14" s="15">
        <f>B7/400</f>
        <v>0.22</v>
      </c>
      <c r="C14" s="15">
        <f t="shared" ref="C14:G14" si="3">C7/400</f>
        <v>0.21</v>
      </c>
      <c r="D14" s="42">
        <f t="shared" si="3"/>
        <v>0.2</v>
      </c>
      <c r="E14" s="15">
        <f t="shared" si="3"/>
        <v>0.155</v>
      </c>
      <c r="F14" s="15">
        <f t="shared" si="3"/>
        <v>0.215</v>
      </c>
      <c r="G14" s="41">
        <f t="shared" si="3"/>
        <v>1</v>
      </c>
    </row>
    <row r="17" spans="1:6" x14ac:dyDescent="0.2">
      <c r="A17" s="34" t="s">
        <v>133</v>
      </c>
      <c r="B17" s="37"/>
      <c r="C17" s="37"/>
      <c r="D17" s="37"/>
      <c r="E17" s="37"/>
      <c r="F17" s="37"/>
    </row>
    <row r="18" spans="1:6" ht="16.5" x14ac:dyDescent="0.25">
      <c r="B18" s="39">
        <v>1</v>
      </c>
      <c r="C18" s="39">
        <v>2</v>
      </c>
      <c r="D18" s="39">
        <v>3</v>
      </c>
      <c r="E18" s="39">
        <v>4</v>
      </c>
      <c r="F18" s="39">
        <v>5</v>
      </c>
    </row>
    <row r="19" spans="1:6" x14ac:dyDescent="0.2">
      <c r="A19" s="35" t="s">
        <v>8</v>
      </c>
      <c r="B19">
        <f>COUNTIFS(Datos!$B$2:$B$401,$A19,Datos!$G$2:$G$401,B$18,Datos!$D$2:$D$401,"&gt;8")</f>
        <v>43</v>
      </c>
      <c r="C19">
        <f>COUNTIFS(Datos!$B$2:$B$401,$A19,Datos!$G$2:$G$401,C$18,Datos!$D$2:$D$401,"&gt;8")</f>
        <v>35</v>
      </c>
      <c r="D19">
        <f>COUNTIFS(Datos!$B$2:$B$401,$A19,Datos!$G$2:$G$401,D$18,Datos!$D$2:$D$401,"&gt;8")</f>
        <v>49</v>
      </c>
      <c r="E19">
        <f>COUNTIFS(Datos!$B$2:$B$401,$A19,Datos!$G$2:$G$401,E$18,Datos!$D$2:$D$401,"&gt;8")</f>
        <v>24</v>
      </c>
      <c r="F19">
        <f>COUNTIFS(Datos!$B$2:$B$401,$A19,Datos!$G$2:$G$401,F$18,Datos!$D$2:$D$401,"&gt;8")</f>
        <v>42</v>
      </c>
    </row>
    <row r="20" spans="1:6" x14ac:dyDescent="0.2">
      <c r="A20" s="35" t="s">
        <v>7</v>
      </c>
      <c r="B20">
        <f>COUNTIFS(Datos!$B$2:$B$401,$A20,Datos!$G$2:$G$401,B$18,Datos!$D$2:$D$401,"&gt;8")</f>
        <v>36</v>
      </c>
      <c r="C20">
        <f>COUNTIFS(Datos!$B$2:$B$401,$A20,Datos!$G$2:$G$401,C$18,Datos!$D$2:$D$401,"&gt;8")</f>
        <v>46</v>
      </c>
      <c r="D20">
        <f>COUNTIFS(Datos!$B$2:$B$401,$A20,Datos!$G$2:$G$401,D$18,Datos!$D$2:$D$401,"&gt;8")</f>
        <v>30</v>
      </c>
      <c r="E20">
        <f>COUNTIFS(Datos!$B$2:$B$401,$A20,Datos!$G$2:$G$401,E$18,Datos!$D$2:$D$401,"&gt;8")</f>
        <v>36</v>
      </c>
      <c r="F20">
        <f>COUNTIFS(Datos!$B$2:$B$401,$A20,Datos!$G$2:$G$401,F$18,Datos!$D$2:$D$401,"&gt;8")</f>
        <v>44</v>
      </c>
    </row>
    <row r="21" spans="1:6" x14ac:dyDescent="0.2">
      <c r="A21" s="36" t="s">
        <v>134</v>
      </c>
      <c r="B21" s="15" t="str">
        <f>"Estructurados / Nivel 3 (n = "&amp;D19&amp;" registros que incumplen SLA)"</f>
        <v>Estructurados / Nivel 3 (n = 49 registros que incumplen SLA)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2FE409EBB78743A37787D6F2E6BE91" ma:contentTypeVersion="13" ma:contentTypeDescription="Crear nuevo documento." ma:contentTypeScope="" ma:versionID="f5ad8906a1ba78255e0c6ed82164199f">
  <xsd:schema xmlns:xsd="http://www.w3.org/2001/XMLSchema" xmlns:xs="http://www.w3.org/2001/XMLSchema" xmlns:p="http://schemas.microsoft.com/office/2006/metadata/properties" xmlns:ns2="490300c4-21a9-400c-9568-edecf3d085bc" xmlns:ns3="e6b07693-0017-42fc-9658-5551fcc115d8" targetNamespace="http://schemas.microsoft.com/office/2006/metadata/properties" ma:root="true" ma:fieldsID="035e34c014871fed5e36774fed6dfb2e" ns2:_="" ns3:_="">
    <xsd:import namespace="490300c4-21a9-400c-9568-edecf3d085bc"/>
    <xsd:import namespace="e6b07693-0017-42fc-9658-5551fcc115d8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300c4-21a9-400c-9568-edecf3d085b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1348c8ee-fc48-4349-a3df-b5c7dc9d70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b07693-0017-42fc-9658-5551fcc115d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c01448c-eb26-4eee-aa57-eb6e1b87cce5}" ma:internalName="TaxCatchAll" ma:showField="CatchAllData" ma:web="e6b07693-0017-42fc-9658-5551fcc115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b07693-0017-42fc-9658-5551fcc115d8" xsi:nil="true"/>
    <lcf76f155ced4ddcb4097134ff3c332f xmlns="490300c4-21a9-400c-9568-edecf3d085bc">
      <Terms xmlns="http://schemas.microsoft.com/office/infopath/2007/PartnerControls"/>
    </lcf76f155ced4ddcb4097134ff3c332f>
    <ReferenceId xmlns="490300c4-21a9-400c-9568-edecf3d085bc" xsi:nil="true"/>
  </documentManagement>
</p:properties>
</file>

<file path=customXml/itemProps1.xml><?xml version="1.0" encoding="utf-8"?>
<ds:datastoreItem xmlns:ds="http://schemas.openxmlformats.org/officeDocument/2006/customXml" ds:itemID="{75B9EBE8-E288-48C9-9FC5-43F7CD9C6DFF}"/>
</file>

<file path=customXml/itemProps2.xml><?xml version="1.0" encoding="utf-8"?>
<ds:datastoreItem xmlns:ds="http://schemas.openxmlformats.org/officeDocument/2006/customXml" ds:itemID="{30775DFB-D25D-4383-9C76-61F36A0B1577}"/>
</file>

<file path=customXml/itemProps3.xml><?xml version="1.0" encoding="utf-8"?>
<ds:datastoreItem xmlns:ds="http://schemas.openxmlformats.org/officeDocument/2006/customXml" ds:itemID="{770BE310-CEF3-4BC9-902C-B18999728E0A}"/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Datos</vt:lpstr>
      <vt:lpstr>1. Descriptivo</vt:lpstr>
      <vt:lpstr>2. Caja y Bigote</vt:lpstr>
      <vt:lpstr>3. Estándar Calidad</vt:lpstr>
      <vt:lpstr>4. Comparación Tipo</vt:lpstr>
      <vt:lpstr>5. Regresión Simple</vt:lpstr>
      <vt:lpstr>6. Regresion Multiple</vt:lpstr>
      <vt:lpstr>7. Coef. Determinación R2</vt:lpstr>
      <vt:lpstr>8. Prediccion Puntual</vt:lpstr>
      <vt:lpstr>9. Prob. No Estructurados</vt:lpstr>
      <vt:lpstr>10. Prob Condicional</vt:lpstr>
      <vt:lpstr>11. Teorema Bayes</vt:lpstr>
      <vt:lpstr>12. Independencia Eventos</vt:lpstr>
      <vt:lpstr>13. Benchmark Estandar</vt:lpstr>
      <vt:lpstr>14. SLA Cliente 3.5hrs</vt:lpstr>
      <vt:lpstr>15. Tablas Contingencia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Amós Ríos</dc:creator>
  <cp:lastModifiedBy>Amós Ríos</cp:lastModifiedBy>
  <dcterms:created xsi:type="dcterms:W3CDTF">2026-07-07T05:04:42Z</dcterms:created>
  <dcterms:modified xsi:type="dcterms:W3CDTF">2026-07-08T03:22:14Z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0x010100E62FE409EBB78743A37787D6F2E6BE91</vt:lpwstr>
  </property>
</Properties>
</file>